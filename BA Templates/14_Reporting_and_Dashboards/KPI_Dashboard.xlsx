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PI Data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AAAAAA"/>
      <sz val="14"/>
    </font>
    <font>
      <name val="Arial"/>
      <b val="1"/>
      <color rgb="0027374D"/>
      <sz val="28"/>
    </font>
    <font>
      <name val="Arial"/>
      <color rgb="00526D82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27374D"/>
      <sz val="20"/>
    </font>
    <font>
      <name val="Arial"/>
      <color rgb="00595959"/>
      <sz val="11"/>
    </font>
    <font>
      <name val="Arial"/>
      <b val="1"/>
      <color rgb="00FFFFFF"/>
      <sz val="12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3" ht="40" customHeight="1">
      <c r="B3" s="1" t="inlineStr">
        <is>
          <t>[COMPANY LOGO PLACEHOLDER]</t>
        </is>
      </c>
    </row>
    <row r="6" ht="50" customHeight="1">
      <c r="B6" s="2" t="inlineStr">
        <is>
          <t>KPI Dashboard</t>
        </is>
      </c>
    </row>
    <row r="7" ht="30" customHeight="1">
      <c r="B7" s="3" t="inlineStr">
        <is>
          <t>Project &amp; Business Performance Metrics</t>
        </is>
      </c>
    </row>
    <row r="9" ht="20" customHeight="1">
      <c r="B9" s="4" t="inlineStr">
        <is>
          <t>Organization:</t>
        </is>
      </c>
      <c r="C9" s="5" t="inlineStr">
        <is>
          <t>[Organization Name]</t>
        </is>
      </c>
    </row>
    <row r="10" ht="20" customHeight="1">
      <c r="B10" s="4" t="inlineStr">
        <is>
          <t>Prepared by:</t>
        </is>
      </c>
      <c r="C10" s="5" t="inlineStr">
        <is>
          <t>[Business Analyst Name]</t>
        </is>
      </c>
    </row>
    <row r="11" ht="20" customHeight="1">
      <c r="B11" s="4" t="inlineStr">
        <is>
          <t>Version:</t>
        </is>
      </c>
      <c r="C11" s="5" t="inlineStr">
        <is>
          <t>1.0</t>
        </is>
      </c>
    </row>
    <row r="12" ht="20" customHeight="1">
      <c r="B12" s="4" t="inlineStr">
        <is>
          <t>Date:</t>
        </is>
      </c>
      <c r="C12" s="5" t="inlineStr">
        <is>
          <t>June 2025</t>
        </is>
      </c>
    </row>
    <row r="13" ht="20" customHeight="1">
      <c r="B13" s="4" t="inlineStr">
        <is>
          <t>Status:</t>
        </is>
      </c>
      <c r="C13" s="5" t="inlineStr">
        <is>
          <t>Draft</t>
        </is>
      </c>
    </row>
    <row r="15">
      <c r="B15" s="18" t="inlineStr">
        <is>
          <t>Design &amp; Prepared by:</t>
        </is>
      </c>
      <c r="C15" s="19" t="inlineStr">
        <is>
          <t>Ahmed El Sayyad</t>
        </is>
      </c>
    </row>
  </sheetData>
  <mergeCells count="3">
    <mergeCell ref="B3:C3"/>
    <mergeCell ref="B6:C6"/>
    <mergeCell ref="B7:C7"/>
  </mergeCells>
  <hyperlinks>
    <hyperlink xmlns:r="http://schemas.openxmlformats.org/officeDocument/2006/relationships" ref="C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35" customWidth="1" min="4" max="4"/>
    <col width="10" customWidth="1" min="5" max="5"/>
    <col width="12" customWidth="1" min="6" max="6"/>
    <col width="15" customWidth="1" min="7" max="7"/>
    <col width="10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30" customWidth="1" min="19" max="19"/>
  </cols>
  <sheetData>
    <row r="1" ht="28" customHeight="1">
      <c r="A1" s="6" t="inlineStr">
        <is>
          <t>KPI ID</t>
        </is>
      </c>
      <c r="B1" s="6" t="inlineStr">
        <is>
          <t>KPI Name</t>
        </is>
      </c>
      <c r="C1" s="6" t="inlineStr">
        <is>
          <t>Category</t>
        </is>
      </c>
      <c r="D1" s="6" t="inlineStr">
        <is>
          <t>Description</t>
        </is>
      </c>
      <c r="E1" s="6" t="inlineStr">
        <is>
          <t>Unit</t>
        </is>
      </c>
      <c r="F1" s="6" t="inlineStr">
        <is>
          <t>Frequency</t>
        </is>
      </c>
      <c r="G1" s="6" t="inlineStr">
        <is>
          <t>Owner</t>
        </is>
      </c>
      <c r="H1" s="6" t="inlineStr">
        <is>
          <t>Target</t>
        </is>
      </c>
      <c r="I1" s="6" t="inlineStr">
        <is>
          <t>Warning Threshold</t>
        </is>
      </c>
      <c r="J1" s="6" t="inlineStr">
        <is>
          <t>Jan</t>
        </is>
      </c>
      <c r="K1" s="6" t="inlineStr">
        <is>
          <t>Feb</t>
        </is>
      </c>
      <c r="L1" s="6" t="inlineStr">
        <is>
          <t>Mar</t>
        </is>
      </c>
      <c r="M1" s="6" t="inlineStr">
        <is>
          <t>Apr</t>
        </is>
      </c>
      <c r="N1" s="6" t="inlineStr">
        <is>
          <t>May</t>
        </is>
      </c>
      <c r="O1" s="6" t="inlineStr">
        <is>
          <t>Jun</t>
        </is>
      </c>
      <c r="P1" s="6" t="inlineStr">
        <is>
          <t>Current Value</t>
        </is>
      </c>
      <c r="Q1" s="6" t="inlineStr">
        <is>
          <t>Status</t>
        </is>
      </c>
      <c r="R1" s="6" t="inlineStr">
        <is>
          <t>Trend</t>
        </is>
      </c>
      <c r="S1" s="6" t="inlineStr">
        <is>
          <t>Commentary</t>
        </is>
      </c>
    </row>
    <row r="2" ht="22" customHeight="1">
      <c r="A2" s="7" t="inlineStr">
        <is>
          <t>KPI-001</t>
        </is>
      </c>
      <c r="B2" s="7" t="inlineStr">
        <is>
          <t>Requirements Approval Rate</t>
        </is>
      </c>
      <c r="C2" s="7" t="inlineStr">
        <is>
          <t>Requirements</t>
        </is>
      </c>
      <c r="D2" s="7" t="inlineStr">
        <is>
          <t>% requirements approved on schedule</t>
        </is>
      </c>
      <c r="E2" s="7" t="inlineStr">
        <is>
          <t>%</t>
        </is>
      </c>
      <c r="F2" s="7" t="inlineStr">
        <is>
          <t>Monthly</t>
        </is>
      </c>
      <c r="G2" s="7" t="inlineStr">
        <is>
          <t>[BA Lead]</t>
        </is>
      </c>
      <c r="H2" s="7" t="n">
        <v>90</v>
      </c>
      <c r="I2" s="7" t="n">
        <v>75</v>
      </c>
      <c r="J2" s="8" t="n">
        <v>65</v>
      </c>
      <c r="K2" s="8" t="n">
        <v>70</v>
      </c>
      <c r="L2" s="8" t="n">
        <v>75</v>
      </c>
      <c r="M2" s="8" t="n">
        <v>80</v>
      </c>
      <c r="N2" s="8" t="n">
        <v>85</v>
      </c>
      <c r="O2" s="8" t="n">
        <v>88</v>
      </c>
      <c r="P2" s="8">
        <f>O3</f>
        <v/>
      </c>
      <c r="Q2" s="7">
        <f>IF(P3&gt;=H3,"On Target",IF(P3&gt;=I3,"At Risk","Below Target"))</f>
        <v/>
      </c>
      <c r="R2" s="7" t="inlineStr"/>
      <c r="S2" s="7" t="inlineStr"/>
    </row>
    <row r="3" ht="22" customHeight="1">
      <c r="A3" s="9" t="inlineStr">
        <is>
          <t>KPI-002</t>
        </is>
      </c>
      <c r="B3" s="9" t="inlineStr">
        <is>
          <t>Stakeholder Satisfaction</t>
        </is>
      </c>
      <c r="C3" s="9" t="inlineStr">
        <is>
          <t>Stakeholder</t>
        </is>
      </c>
      <c r="D3" s="9" t="inlineStr">
        <is>
          <t>Average satisfaction score from stakeholders</t>
        </is>
      </c>
      <c r="E3" s="9" t="inlineStr">
        <is>
          <t>Score /10</t>
        </is>
      </c>
      <c r="F3" s="9" t="inlineStr">
        <is>
          <t>Monthly</t>
        </is>
      </c>
      <c r="G3" s="9" t="inlineStr">
        <is>
          <t>[PM]</t>
        </is>
      </c>
      <c r="H3" s="9" t="n">
        <v>8</v>
      </c>
      <c r="I3" s="9" t="n">
        <v>7</v>
      </c>
      <c r="J3" s="10" t="n">
        <v>6.5</v>
      </c>
      <c r="K3" s="10" t="n">
        <v>7</v>
      </c>
      <c r="L3" s="10" t="n">
        <v>7.2</v>
      </c>
      <c r="M3" s="10" t="n">
        <v>7.5</v>
      </c>
      <c r="N3" s="10" t="n">
        <v>7.8</v>
      </c>
      <c r="O3" s="10" t="n">
        <v>8</v>
      </c>
      <c r="P3" s="10">
        <f>O4</f>
        <v/>
      </c>
      <c r="Q3" s="9">
        <f>IF(P4&gt;=H4,"On Target",IF(P4&gt;=I4,"At Risk","Below Target"))</f>
        <v/>
      </c>
      <c r="R3" s="9" t="inlineStr"/>
      <c r="S3" s="9" t="inlineStr"/>
    </row>
    <row r="4" ht="22" customHeight="1">
      <c r="A4" s="7" t="inlineStr">
        <is>
          <t>KPI-003</t>
        </is>
      </c>
      <c r="B4" s="7" t="inlineStr">
        <is>
          <t>Test Case Pass Rate</t>
        </is>
      </c>
      <c r="C4" s="7" t="inlineStr">
        <is>
          <t>Quality</t>
        </is>
      </c>
      <c r="D4" s="7" t="inlineStr">
        <is>
          <t>% of UAT test cases passed</t>
        </is>
      </c>
      <c r="E4" s="7" t="inlineStr">
        <is>
          <t>%</t>
        </is>
      </c>
      <c r="F4" s="7" t="inlineStr">
        <is>
          <t>Weekly</t>
        </is>
      </c>
      <c r="G4" s="7" t="inlineStr">
        <is>
          <t>[UAT Lead]</t>
        </is>
      </c>
      <c r="H4" s="7" t="n">
        <v>95</v>
      </c>
      <c r="I4" s="7" t="n">
        <v>80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55</v>
      </c>
      <c r="O4" s="8" t="n">
        <v>72</v>
      </c>
      <c r="P4" s="8">
        <f>O5</f>
        <v/>
      </c>
      <c r="Q4" s="7">
        <f>IF(P5&gt;=H5,"On Target",IF(P5&gt;=I5,"At Risk","Below Target"))</f>
        <v/>
      </c>
      <c r="R4" s="7" t="inlineStr"/>
      <c r="S4" s="7" t="inlineStr">
        <is>
          <t>Testing phase started May</t>
        </is>
      </c>
    </row>
    <row r="5" ht="22" customHeight="1">
      <c r="A5" s="9" t="inlineStr">
        <is>
          <t>KPI-004</t>
        </is>
      </c>
      <c r="B5" s="9" t="inlineStr">
        <is>
          <t>Defect Resolution Rate</t>
        </is>
      </c>
      <c r="C5" s="9" t="inlineStr">
        <is>
          <t>Quality</t>
        </is>
      </c>
      <c r="D5" s="9" t="inlineStr">
        <is>
          <t>% of P1/P2 defects resolved within SLA</t>
        </is>
      </c>
      <c r="E5" s="9" t="inlineStr">
        <is>
          <t>%</t>
        </is>
      </c>
      <c r="F5" s="9" t="inlineStr">
        <is>
          <t>Weekly</t>
        </is>
      </c>
      <c r="G5" s="9" t="inlineStr">
        <is>
          <t>[IT Lead]</t>
        </is>
      </c>
      <c r="H5" s="9" t="n">
        <v>95</v>
      </c>
      <c r="I5" s="9" t="n">
        <v>85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88</v>
      </c>
      <c r="O5" s="10" t="n">
        <v>92</v>
      </c>
      <c r="P5" s="10">
        <f>O6</f>
        <v/>
      </c>
      <c r="Q5" s="9">
        <f>IF(P6&gt;=H6,"On Target",IF(P6&gt;=I6,"At Risk","Below Target"))</f>
        <v/>
      </c>
      <c r="R5" s="9" t="inlineStr"/>
      <c r="S5" s="9" t="inlineStr"/>
    </row>
    <row r="6" ht="22" customHeight="1">
      <c r="A6" s="7" t="inlineStr">
        <is>
          <t>KPI-005</t>
        </is>
      </c>
      <c r="B6" s="7" t="inlineStr">
        <is>
          <t>Requirements Stability</t>
        </is>
      </c>
      <c r="C6" s="7" t="inlineStr">
        <is>
          <t>Requirements</t>
        </is>
      </c>
      <c r="D6" s="7" t="inlineStr">
        <is>
          <t>% requirements unchanged after baseline</t>
        </is>
      </c>
      <c r="E6" s="7" t="inlineStr">
        <is>
          <t>%</t>
        </is>
      </c>
      <c r="F6" s="7" t="inlineStr">
        <is>
          <t>Monthly</t>
        </is>
      </c>
      <c r="G6" s="7" t="inlineStr">
        <is>
          <t>[BA]</t>
        </is>
      </c>
      <c r="H6" s="7" t="n">
        <v>85</v>
      </c>
      <c r="I6" s="7" t="n">
        <v>70</v>
      </c>
      <c r="J6" s="8" t="n">
        <v>100</v>
      </c>
      <c r="K6" s="8" t="n">
        <v>95</v>
      </c>
      <c r="L6" s="8" t="n">
        <v>90</v>
      </c>
      <c r="M6" s="8" t="n">
        <v>88</v>
      </c>
      <c r="N6" s="8" t="n">
        <v>85</v>
      </c>
      <c r="O6" s="8" t="n">
        <v>82</v>
      </c>
      <c r="P6" s="8">
        <f>O7</f>
        <v/>
      </c>
      <c r="Q6" s="7">
        <f>IF(P7&gt;=H7,"On Target",IF(P7&gt;=I7,"At Risk","Below Target"))</f>
        <v/>
      </c>
      <c r="R6" s="7" t="inlineStr"/>
      <c r="S6" s="7" t="inlineStr">
        <is>
          <t>Scope changes in scope management</t>
        </is>
      </c>
    </row>
  </sheetData>
  <conditionalFormatting sqref="R2:R200">
    <cfRule type="cellIs" priority="1" operator="equal" dxfId="0">
      <formula>"On Target"</formula>
    </cfRule>
    <cfRule type="cellIs" priority="2" operator="equal" dxfId="1">
      <formula>"At Risk"</formula>
    </cfRule>
    <cfRule type="cellIs" priority="3" operator="equal" dxfId="2">
      <formula>"Below Target"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showRowColHeaders="0" workbookViewId="0">
      <selection activeCell="A1" sqref="A1"/>
    </sheetView>
  </sheetViews>
  <sheetFormatPr baseColWidth="8" defaultRowHeight="15"/>
  <cols>
    <col width="40" customWidth="1" min="2" max="2"/>
    <col width="12" customWidth="1" min="3" max="3"/>
    <col width="12" customWidth="1" min="4" max="4"/>
    <col width="15" customWidth="1" min="5" max="5"/>
    <col width="5" customWidth="1" min="6" max="6"/>
  </cols>
  <sheetData>
    <row r="2">
      <c r="B2" s="11" t="inlineStr">
        <is>
          <t>PROJECT KPI DASHBOARD</t>
        </is>
      </c>
    </row>
    <row r="3">
      <c r="B3" s="12" t="inlineStr">
        <is>
          <t>Reporting Period: June 2025  |  Project: [Project Name]</t>
        </is>
      </c>
    </row>
    <row r="5" ht="28" customHeight="1">
      <c r="B5" s="13" t="inlineStr">
        <is>
          <t>KPI</t>
        </is>
      </c>
      <c r="C5" s="13" t="inlineStr">
        <is>
          <t>Target</t>
        </is>
      </c>
      <c r="D5" s="13" t="inlineStr">
        <is>
          <t>Current</t>
        </is>
      </c>
      <c r="E5" s="13" t="inlineStr">
        <is>
          <t>Status</t>
        </is>
      </c>
    </row>
    <row r="6" ht="24" customHeight="1">
      <c r="B6" s="14">
        <f>'KPI Data'!B3</f>
        <v/>
      </c>
      <c r="C6" s="15">
        <f>'KPI Data'!H3</f>
        <v/>
      </c>
      <c r="D6" s="15">
        <f>'KPI Data'!P3</f>
        <v/>
      </c>
      <c r="E6" s="15">
        <f>'KPI Data'!R3</f>
        <v/>
      </c>
    </row>
    <row r="7" ht="24" customHeight="1">
      <c r="B7" s="16">
        <f>'KPI Data'!B4</f>
        <v/>
      </c>
      <c r="C7" s="17">
        <f>'KPI Data'!H4</f>
        <v/>
      </c>
      <c r="D7" s="17">
        <f>'KPI Data'!P4</f>
        <v/>
      </c>
      <c r="E7" s="17">
        <f>'KPI Data'!R4</f>
        <v/>
      </c>
    </row>
    <row r="8" ht="24" customHeight="1">
      <c r="B8" s="14">
        <f>'KPI Data'!B5</f>
        <v/>
      </c>
      <c r="C8" s="15">
        <f>'KPI Data'!H5</f>
        <v/>
      </c>
      <c r="D8" s="15">
        <f>'KPI Data'!P5</f>
        <v/>
      </c>
      <c r="E8" s="15">
        <f>'KPI Data'!R5</f>
        <v/>
      </c>
    </row>
    <row r="9" ht="24" customHeight="1">
      <c r="B9" s="16">
        <f>'KPI Data'!B6</f>
        <v/>
      </c>
      <c r="C9" s="17">
        <f>'KPI Data'!H6</f>
        <v/>
      </c>
      <c r="D9" s="17">
        <f>'KPI Data'!P6</f>
        <v/>
      </c>
      <c r="E9" s="17">
        <f>'KPI Data'!R6</f>
        <v/>
      </c>
    </row>
    <row r="10" ht="24" customHeight="1">
      <c r="B10" s="14">
        <f>'KPI Data'!B7</f>
        <v/>
      </c>
      <c r="C10" s="15">
        <f>'KPI Data'!H7</f>
        <v/>
      </c>
      <c r="D10" s="15">
        <f>'KPI Data'!P7</f>
        <v/>
      </c>
      <c r="E10" s="15">
        <f>'KPI Data'!R7</f>
        <v/>
      </c>
    </row>
  </sheetData>
  <conditionalFormatting sqref="E6:E11">
    <cfRule type="cellIs" priority="1" operator="equal" dxfId="0">
      <formula>"On Target"</formula>
    </cfRule>
    <cfRule type="cellIs" priority="2" operator="equal" dxfId="1">
      <formula>"At Risk"</formula>
    </cfRule>
    <cfRule type="cellIs" priority="3" operator="equal" dxfId="2">
      <formula>"Below Target"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2026-06-12T18:38:23Z</dcterms:created>
  <dcterms:modified xmlns:dcterms="http://purl.org/dc/terms/" xmlns:xsi="http://www.w3.org/2001/XMLSchema-instance" xsi:type="dcterms:W3CDTF">2026-09-26T10:52:07Z</dcterms:modified>
</cp:coreProperties>
</file>