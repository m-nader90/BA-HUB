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KPI Register" sheetId="1" state="visible" r:id="rId1"/>
  </sheets>
  <definedNames>
    <definedName name="_xlnm._FilterDatabase" localSheetId="0" hidden="1">'Process KPI Register'!$A$1:$S$200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30" customWidth="1" min="4" max="4"/>
    <col width="8" customWidth="1" min="5" max="5"/>
    <col width="2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0" customWidth="1" min="18" max="18"/>
    <col width="20" customWidth="1" min="19" max="19"/>
  </cols>
  <sheetData>
    <row r="1" ht="26" customHeight="1">
      <c r="A1" s="1" t="inlineStr">
        <is>
          <t>KPI ID</t>
        </is>
      </c>
      <c r="B1" s="1" t="inlineStr">
        <is>
          <t>Process Name</t>
        </is>
      </c>
      <c r="C1" s="1" t="inlineStr">
        <is>
          <t>KPI 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Measurement Method</t>
        </is>
      </c>
      <c r="G1" s="1" t="inlineStr">
        <is>
          <t>Owner</t>
        </is>
      </c>
      <c r="H1" s="1" t="inlineStr">
        <is>
          <t>Frequency</t>
        </is>
      </c>
      <c r="I1" s="1" t="inlineStr">
        <is>
          <t>Baseline</t>
        </is>
      </c>
      <c r="J1" s="1" t="inlineStr">
        <is>
          <t>Target</t>
        </is>
      </c>
      <c r="K1" s="1" t="inlineStr">
        <is>
          <t>Warning Level</t>
        </is>
      </c>
      <c r="L1" s="1" t="inlineStr">
        <is>
          <t>Q1 Actual</t>
        </is>
      </c>
      <c r="M1" s="1" t="inlineStr">
        <is>
          <t>Q2 Actual</t>
        </is>
      </c>
      <c r="N1" s="1" t="inlineStr">
        <is>
          <t>Q3 Actual</t>
        </is>
      </c>
      <c r="O1" s="1" t="inlineStr">
        <is>
          <t>Q4 Actual</t>
        </is>
      </c>
      <c r="P1" s="1" t="inlineStr">
        <is>
          <t>YTD Average</t>
        </is>
      </c>
      <c r="Q1" s="1" t="inlineStr">
        <is>
          <t>Status</t>
        </is>
      </c>
      <c r="R1" s="1" t="inlineStr">
        <is>
          <t>Trend</t>
        </is>
      </c>
      <c r="S1" s="1" t="inlineStr">
        <is>
          <t>Notes</t>
        </is>
      </c>
    </row>
    <row r="2" ht="20" customHeight="1">
      <c r="A2" s="2" t="inlineStr">
        <is>
          <t>PKI-001</t>
        </is>
      </c>
      <c r="B2" s="2" t="inlineStr">
        <is>
          <t>Order Processing</t>
        </is>
      </c>
      <c r="C2" s="2" t="inlineStr">
        <is>
          <t>Order Cycle Time</t>
        </is>
      </c>
      <c r="D2" s="2" t="inlineStr">
        <is>
          <t>Average time from order receipt to fulfillment</t>
        </is>
      </c>
      <c r="E2" s="2" t="inlineStr">
        <is>
          <t>Hours</t>
        </is>
      </c>
      <c r="F2" s="2" t="inlineStr">
        <is>
          <t>System timestamp</t>
        </is>
      </c>
      <c r="G2" s="2" t="inlineStr">
        <is>
          <t>[Owner]</t>
        </is>
      </c>
      <c r="H2" s="2" t="inlineStr">
        <is>
          <t>Weekly</t>
        </is>
      </c>
      <c r="I2" s="2" t="n">
        <v>48</v>
      </c>
      <c r="J2" s="2" t="n">
        <v>8</v>
      </c>
      <c r="K2" s="2" t="n">
        <v>16</v>
      </c>
      <c r="L2" s="3" t="n">
        <v>42</v>
      </c>
      <c r="M2" s="3" t="n">
        <v>35</v>
      </c>
      <c r="N2" s="3" t="n">
        <v>22</v>
      </c>
      <c r="O2" s="3" t="n">
        <v>18</v>
      </c>
      <c r="P2" s="3">
        <f>AVERAGE(L3:O3)</f>
        <v/>
      </c>
      <c r="Q2" s="2">
        <f>IF(P3&lt;=H3,"On Target",IF(P3&lt;=J3,"At Risk","Below Target"))</f>
        <v/>
      </c>
      <c r="R2" s="2" t="inlineStr"/>
      <c r="S2" s="2" t="inlineStr">
        <is>
          <t xml:space="preserve"> </t>
        </is>
      </c>
    </row>
    <row r="3" ht="20" customHeight="1">
      <c r="A3" s="4" t="inlineStr">
        <is>
          <t>PKI-002</t>
        </is>
      </c>
      <c r="B3" s="4" t="inlineStr">
        <is>
          <t>Customer Service</t>
        </is>
      </c>
      <c r="C3" s="4" t="inlineStr">
        <is>
          <t>First Call Resolution Rate</t>
        </is>
      </c>
      <c r="D3" s="4" t="inlineStr">
        <is>
          <t>% of calls resolved on first contact</t>
        </is>
      </c>
      <c r="E3" s="4" t="inlineStr">
        <is>
          <t>%</t>
        </is>
      </c>
      <c r="F3" s="4" t="inlineStr">
        <is>
          <t>Call center system</t>
        </is>
      </c>
      <c r="G3" s="4" t="inlineStr">
        <is>
          <t>[Owner]</t>
        </is>
      </c>
      <c r="H3" s="4" t="inlineStr">
        <is>
          <t>Weekly</t>
        </is>
      </c>
      <c r="I3" s="4" t="n">
        <v>60</v>
      </c>
      <c r="J3" s="4" t="n">
        <v>85</v>
      </c>
      <c r="K3" s="4" t="n">
        <v>75</v>
      </c>
      <c r="L3" s="5" t="n">
        <v>62</v>
      </c>
      <c r="M3" s="5" t="n">
        <v>68</v>
      </c>
      <c r="N3" s="5" t="n">
        <v>75</v>
      </c>
      <c r="O3" s="5" t="n">
        <v>80</v>
      </c>
      <c r="P3" s="5">
        <f>AVERAGE(L4:O4)</f>
        <v/>
      </c>
      <c r="Q3" s="4">
        <f>IF(P4&gt;=H4,"On Target",IF(P4&gt;=J4,"At Risk","Below Target"))</f>
        <v/>
      </c>
      <c r="R3" s="4" t="inlineStr"/>
      <c r="S3" s="4" t="inlineStr"/>
    </row>
    <row r="4" ht="20" customHeight="1">
      <c r="A4" s="2" t="inlineStr">
        <is>
          <t>PKI-003</t>
        </is>
      </c>
      <c r="B4" s="2" t="inlineStr">
        <is>
          <t>Finance</t>
        </is>
      </c>
      <c r="C4" s="2" t="inlineStr">
        <is>
          <t>Invoice Processing Time</t>
        </is>
      </c>
      <c r="D4" s="2" t="inlineStr">
        <is>
          <t>Average days to process supplier invoice</t>
        </is>
      </c>
      <c r="E4" s="2" t="inlineStr">
        <is>
          <t>Days</t>
        </is>
      </c>
      <c r="F4" s="2" t="inlineStr">
        <is>
          <t>ERP report</t>
        </is>
      </c>
      <c r="G4" s="2" t="inlineStr">
        <is>
          <t>[Owner]</t>
        </is>
      </c>
      <c r="H4" s="2" t="inlineStr">
        <is>
          <t>Monthly</t>
        </is>
      </c>
      <c r="I4" s="2" t="n">
        <v>12</v>
      </c>
      <c r="J4" s="2" t="n">
        <v>3</v>
      </c>
      <c r="K4" s="2" t="n">
        <v>5</v>
      </c>
      <c r="L4" s="3" t="n">
        <v>11</v>
      </c>
      <c r="M4" s="3" t="n">
        <v>9</v>
      </c>
      <c r="N4" s="3" t="n">
        <v>6</v>
      </c>
      <c r="O4" s="3" t="n">
        <v>4</v>
      </c>
      <c r="P4" s="3">
        <f>AVERAGE(L5:O5)</f>
        <v/>
      </c>
      <c r="Q4" s="2">
        <f>IF(P5&lt;=H5,"On Target",IF(P5&lt;=J5,"At Risk","Below Target"))</f>
        <v/>
      </c>
      <c r="R4" s="2" t="inlineStr"/>
      <c r="S4" s="2" t="inlineStr"/>
    </row>
    <row r="5" ht="20" customHeight="1">
      <c r="A5" s="4" t="inlineStr">
        <is>
          <t>PKI-004</t>
        </is>
      </c>
      <c r="B5" s="4" t="inlineStr">
        <is>
          <t>IT Operations</t>
        </is>
      </c>
      <c r="C5" s="4" t="inlineStr">
        <is>
          <t>System Availability</t>
        </is>
      </c>
      <c r="D5" s="4" t="inlineStr">
        <is>
          <t>Uptime % during business hours</t>
        </is>
      </c>
      <c r="E5" s="4" t="inlineStr">
        <is>
          <t>%</t>
        </is>
      </c>
      <c r="F5" s="4" t="inlineStr">
        <is>
          <t>Monitoring tool</t>
        </is>
      </c>
      <c r="G5" s="4" t="inlineStr">
        <is>
          <t>[Owner]</t>
        </is>
      </c>
      <c r="H5" s="4" t="inlineStr">
        <is>
          <t>Monthly</t>
        </is>
      </c>
      <c r="I5" s="4" t="n">
        <v>97</v>
      </c>
      <c r="J5" s="4" t="n">
        <v>99.90000000000001</v>
      </c>
      <c r="K5" s="4" t="n">
        <v>99.5</v>
      </c>
      <c r="L5" s="5" t="n">
        <v>98.2</v>
      </c>
      <c r="M5" s="5" t="n">
        <v>99.09999999999999</v>
      </c>
      <c r="N5" s="5" t="n">
        <v>99.5</v>
      </c>
      <c r="O5" s="5" t="n">
        <v>99.8</v>
      </c>
      <c r="P5" s="5">
        <f>AVERAGE(L6:O6)</f>
        <v/>
      </c>
      <c r="Q5" s="4">
        <f>IF(P6&gt;=H6,"On Target",IF(P6&gt;=J6,"At Risk","Below Target"))</f>
        <v/>
      </c>
      <c r="R5" s="4" t="inlineStr"/>
      <c r="S5" s="4" t="inlineStr">
        <is>
          <t>Incident in Q1</t>
        </is>
      </c>
    </row>
    <row r="7">
      <c r="A7" s="6" t="inlineStr">
        <is>
          <t>Design &amp; Prepared by:</t>
        </is>
      </c>
      <c r="B7" s="7" t="inlineStr">
        <is>
          <t>Ahmed El Sayyad</t>
        </is>
      </c>
    </row>
  </sheetData>
  <autoFilter ref="A1:S200"/>
  <conditionalFormatting sqref="Q2:Q200">
    <cfRule type="cellIs" priority="1" operator="equal" dxfId="0">
      <formula>"On Target"</formula>
    </cfRule>
    <cfRule type="cellIs" priority="2" operator="equal" dxfId="1">
      <formula>"At Risk"</formula>
    </cfRule>
    <cfRule type="cellIs" priority="3" operator="equal" dxfId="2">
      <formula>"Below Target"</formula>
    </cfRule>
  </conditionalFormatting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