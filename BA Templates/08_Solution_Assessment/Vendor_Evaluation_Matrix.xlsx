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xWindow="0" yWindow="0" windowWidth="16384" windowHeight="8192" tabRatio="500" firstSheet="0" activeTab="0" autoFilterDateGrouping="1"/>
  </bookViews>
  <sheets>
    <sheet xmlns:r="http://schemas.openxmlformats.org/officeDocument/2006/relationships" name="Cover" sheetId="1" state="visible" r:id="rId1"/>
    <sheet xmlns:r="http://schemas.openxmlformats.org/officeDocument/2006/relationships" name="Evaluation Matrix" sheetId="2" state="visible" r:id="rId2"/>
  </sheets>
  <definedNames/>
  <calcPr calcId="124519" fullCalcOnLoad="1" refMode="A1" iterate="0" iterateCount="100" iterateDelta="0.0001"/>
</workbook>
</file>

<file path=xl/styles.xml><?xml version="1.0" encoding="utf-8"?>
<styleSheet xmlns="http://schemas.openxmlformats.org/spreadsheetml/2006/main">
  <numFmts count="1">
    <numFmt numFmtId="164" formatCode="0\%"/>
  </numFmts>
  <fonts count="13">
    <font>
      <name val="Calibri"/>
      <charset val="1"/>
      <family val="2"/>
      <color theme="1"/>
      <sz val="11"/>
    </font>
    <font>
      <name val="Arial"/>
      <family val="0"/>
      <sz val="10"/>
    </font>
    <font>
      <name val="Arial"/>
      <family val="0"/>
      <sz val="10"/>
    </font>
    <font>
      <name val="Arial"/>
      <family val="0"/>
      <sz val="10"/>
    </font>
    <font>
      <name val="Arial"/>
      <charset val="1"/>
      <family val="0"/>
      <b val="1"/>
      <color rgb="FFAAAAAA"/>
      <sz val="14"/>
    </font>
    <font>
      <name val="Arial"/>
      <charset val="1"/>
      <family val="0"/>
      <b val="1"/>
      <color rgb="FF27374D"/>
      <sz val="28"/>
    </font>
    <font>
      <name val="Arial"/>
      <charset val="1"/>
      <family val="0"/>
      <color rgb="FF526D82"/>
      <sz val="14"/>
    </font>
    <font>
      <name val="Arial"/>
      <charset val="1"/>
      <family val="0"/>
      <b val="1"/>
      <sz val="11"/>
    </font>
    <font>
      <name val="Arial"/>
      <charset val="1"/>
      <family val="0"/>
      <sz val="11"/>
    </font>
    <font>
      <name val="Arial"/>
      <charset val="1"/>
      <family val="0"/>
      <b val="1"/>
      <color rgb="FFFFFFFF"/>
      <sz val="11"/>
    </font>
    <font>
      <name val="Arial"/>
      <charset val="1"/>
      <family val="0"/>
      <color rgb="FF000000"/>
      <sz val="10"/>
    </font>
    <font>
      <i val="1"/>
      <color rgb="007A8A99"/>
      <sz val="9"/>
    </font>
    <font>
      <i val="1"/>
      <color rgb="00526D82"/>
      <sz val="9"/>
      <u val="single"/>
    </font>
  </fonts>
  <fills count="5">
    <fill>
      <patternFill/>
    </fill>
    <fill>
      <patternFill patternType="gray125"/>
    </fill>
    <fill>
      <patternFill patternType="solid">
        <fgColor rgb="FF27374D"/>
        <bgColor rgb="FF333333"/>
      </patternFill>
    </fill>
    <fill>
      <patternFill patternType="solid">
        <fgColor rgb="FFE9EFF3"/>
        <bgColor rgb="FFFFFFFF"/>
      </patternFill>
    </fill>
    <fill>
      <patternFill patternType="solid">
        <fgColor rgb="FFFFFFFF"/>
        <bgColor rgb="FFE9EFF3"/>
      </patternFill>
    </fill>
  </fills>
  <borders count="2">
    <border>
      <left/>
      <right/>
      <top/>
      <bottom/>
      <diagonal/>
    </border>
    <border>
      <left style="thin">
        <color rgb="FF9DB2BF"/>
      </left>
      <right style="thin">
        <color rgb="FF9DB2BF"/>
      </right>
      <top style="thin">
        <color rgb="FF9DB2BF"/>
      </top>
      <bottom style="thin">
        <color rgb="FF9DB2BF"/>
      </bottom>
      <diagonal/>
    </border>
  </borders>
  <cellStyleXfs count="6">
    <xf numFmtId="0" fontId="0" fillId="0" borderId="0" applyAlignment="1">
      <alignment horizontal="general" vertical="bottom"/>
    </xf>
    <xf numFmtId="43" fontId="3" fillId="0" borderId="0"/>
    <xf numFmtId="41" fontId="3" fillId="0" borderId="0"/>
    <xf numFmtId="44" fontId="3" fillId="0" borderId="0"/>
    <xf numFmtId="42" fontId="3" fillId="0" borderId="0"/>
    <xf numFmtId="9" fontId="3" fillId="0" borderId="0"/>
  </cellStyleXfs>
  <cellXfs count="33">
    <xf numFmtId="0" fontId="0" fillId="0" borderId="0" applyAlignment="1" pivotButton="0" quotePrefix="0" xfId="0">
      <alignment horizontal="general" vertical="bottom"/>
    </xf>
    <xf numFmtId="0" fontId="4" fillId="0" borderId="0" applyAlignment="1" pivotButton="0" quotePrefix="0" xfId="0">
      <alignment horizontal="center" vertical="bottom"/>
    </xf>
    <xf numFmtId="0" fontId="5" fillId="0" borderId="0" applyAlignment="1" pivotButton="0" quotePrefix="0" xfId="0">
      <alignment horizontal="center" vertical="center"/>
    </xf>
    <xf numFmtId="0" fontId="6" fillId="0" borderId="0" applyAlignment="1" pivotButton="0" quotePrefix="0" xfId="0">
      <alignment horizontal="center" vertical="bottom"/>
    </xf>
    <xf numFmtId="0" fontId="7" fillId="0" borderId="0" applyAlignment="1" pivotButton="0" quotePrefix="0" xfId="0">
      <alignment horizontal="general" vertical="bottom"/>
    </xf>
    <xf numFmtId="0" fontId="8" fillId="0" borderId="0" applyAlignment="1" pivotButton="0" quotePrefix="0" xfId="0">
      <alignment horizontal="general" vertical="bottom"/>
    </xf>
    <xf numFmtId="0" fontId="9" fillId="2" borderId="1" applyAlignment="1" pivotButton="0" quotePrefix="0" xfId="0">
      <alignment horizontal="center" vertical="center" wrapText="1"/>
    </xf>
    <xf numFmtId="0" fontId="10" fillId="3" borderId="1" applyAlignment="1" pivotButton="0" quotePrefix="0" xfId="0">
      <alignment horizontal="left" vertical="center" wrapText="1"/>
    </xf>
    <xf numFmtId="164" fontId="10" fillId="3" borderId="1" applyAlignment="1" pivotButton="0" quotePrefix="0" xfId="0">
      <alignment horizontal="center" vertical="center" wrapText="1"/>
    </xf>
    <xf numFmtId="2" fontId="10" fillId="3" borderId="1" applyAlignment="1" pivotButton="0" quotePrefix="0" xfId="0">
      <alignment horizontal="center" vertical="center" wrapText="1"/>
    </xf>
    <xf numFmtId="0" fontId="10" fillId="4" borderId="1" applyAlignment="1" pivotButton="0" quotePrefix="0" xfId="0">
      <alignment horizontal="left" vertical="center" wrapText="1"/>
    </xf>
    <xf numFmtId="164" fontId="10" fillId="4" borderId="1" applyAlignment="1" pivotButton="0" quotePrefix="0" xfId="0">
      <alignment horizontal="center" vertical="center" wrapText="1"/>
    </xf>
    <xf numFmtId="2" fontId="10" fillId="4" borderId="1" applyAlignment="1" pivotButton="0" quotePrefix="0" xfId="0">
      <alignment horizontal="center" vertical="center" wrapText="1"/>
    </xf>
    <xf numFmtId="164" fontId="0" fillId="0" borderId="0" applyAlignment="1" pivotButton="0" quotePrefix="0" xfId="0">
      <alignment horizontal="general" vertical="bottom"/>
    </xf>
    <xf numFmtId="2" fontId="9" fillId="2" borderId="1" applyAlignment="1" pivotButton="0" quotePrefix="0" xfId="0">
      <alignment horizontal="center" vertical="center" wrapText="1"/>
    </xf>
    <xf numFmtId="0" fontId="0" fillId="0" borderId="0" applyAlignment="1" pivotButton="0" quotePrefix="0" xfId="0">
      <alignment horizontal="general" vertical="bottom"/>
    </xf>
    <xf numFmtId="0" fontId="0" fillId="0" borderId="0" pivotButton="0" quotePrefix="0" xfId="0"/>
    <xf numFmtId="0" fontId="4" fillId="0" borderId="0" applyAlignment="1" pivotButton="0" quotePrefix="0" xfId="0">
      <alignment horizontal="center" vertical="bottom"/>
    </xf>
    <xf numFmtId="0" fontId="5" fillId="0" borderId="0" applyAlignment="1" pivotButton="0" quotePrefix="0" xfId="0">
      <alignment horizontal="center" vertical="center"/>
    </xf>
    <xf numFmtId="0" fontId="6" fillId="0" borderId="0" applyAlignment="1" pivotButton="0" quotePrefix="0" xfId="0">
      <alignment horizontal="center" vertical="bottom"/>
    </xf>
    <xf numFmtId="0" fontId="7" fillId="0" borderId="0" applyAlignment="1" pivotButton="0" quotePrefix="0" xfId="0">
      <alignment horizontal="general" vertical="bottom"/>
    </xf>
    <xf numFmtId="0" fontId="8" fillId="0" borderId="0" applyAlignment="1" pivotButton="0" quotePrefix="0" xfId="0">
      <alignment horizontal="general" vertical="bottom"/>
    </xf>
    <xf numFmtId="0" fontId="11" fillId="0" borderId="0" pivotButton="0" quotePrefix="0" xfId="0"/>
    <xf numFmtId="0" fontId="12" fillId="0" borderId="0" pivotButton="0" quotePrefix="0" xfId="0"/>
    <xf numFmtId="0" fontId="9" fillId="2" borderId="1" applyAlignment="1" pivotButton="0" quotePrefix="0" xfId="0">
      <alignment horizontal="center" vertical="center" wrapText="1"/>
    </xf>
    <xf numFmtId="0" fontId="10" fillId="3" borderId="1" applyAlignment="1" pivotButton="0" quotePrefix="0" xfId="0">
      <alignment horizontal="left" vertical="center" wrapText="1"/>
    </xf>
    <xf numFmtId="164" fontId="10" fillId="3" borderId="1" applyAlignment="1" pivotButton="0" quotePrefix="0" xfId="0">
      <alignment horizontal="center" vertical="center" wrapText="1"/>
    </xf>
    <xf numFmtId="2" fontId="10" fillId="3" borderId="1" applyAlignment="1" pivotButton="0" quotePrefix="0" xfId="0">
      <alignment horizontal="center" vertical="center" wrapText="1"/>
    </xf>
    <xf numFmtId="0" fontId="10" fillId="4" borderId="1" applyAlignment="1" pivotButton="0" quotePrefix="0" xfId="0">
      <alignment horizontal="left" vertical="center" wrapText="1"/>
    </xf>
    <xf numFmtId="164" fontId="10" fillId="4" borderId="1" applyAlignment="1" pivotButton="0" quotePrefix="0" xfId="0">
      <alignment horizontal="center" vertical="center" wrapText="1"/>
    </xf>
    <xf numFmtId="2" fontId="10" fillId="4" borderId="1" applyAlignment="1" pivotButton="0" quotePrefix="0" xfId="0">
      <alignment horizontal="center" vertical="center" wrapText="1"/>
    </xf>
    <xf numFmtId="164" fontId="0" fillId="0" borderId="0" applyAlignment="1" pivotButton="0" quotePrefix="0" xfId="0">
      <alignment horizontal="general" vertical="bottom"/>
    </xf>
    <xf numFmtId="2" fontId="9" fillId="2" borderId="1" applyAlignment="1" pivotButton="0" quotePrefix="0" xfId="0">
      <alignment horizontal="center" vertical="center" wrapText="1"/>
    </xf>
  </cellXfs>
  <cellStyles count="6">
    <cellStyle name="Normal" xfId="0" builtinId="0"/>
    <cellStyle name="Comma" xfId="1" builtinId="3"/>
    <cellStyle name="Comma [0]" xfId="2" builtinId="6"/>
    <cellStyle name="Currency" xfId="3" builtinId="4"/>
    <cellStyle name="Currency [0]" xfId="4" builtinId="7"/>
    <cellStyle name="Percent" xfId="5" builtinId="5"/>
  </cellStyles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9DB2BF"/>
      <rgbColor rgb="FF808080"/>
      <rgbColor rgb="FF9999FF"/>
      <rgbColor rgb="FF993366"/>
      <rgbColor rgb="FFE9EFF3"/>
      <rgbColor rgb="FFCCFFFF"/>
      <rgbColor rgb="FF660066"/>
      <rgbColor rgb="FFFF8080"/>
      <rgbColor rgb="FF0066CC"/>
      <rgbColor rgb="FFCCCCFF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CCFFCC"/>
      <rgbColor rgb="FFFFFF99"/>
      <rgbColor rgb="FF99CCFF"/>
      <rgbColor rgb="FFFF99CC"/>
      <rgbColor rgb="FFCC99FF"/>
      <rgbColor rgb="FFFFCC99"/>
      <rgbColor rgb="FF526D82"/>
      <rgbColor rgb="FF33CCCC"/>
      <rgbColor rgb="FF99CC00"/>
      <rgbColor rgb="FFFFCC00"/>
      <rgbColor rgb="FFFF9900"/>
      <rgbColor rgb="FFFF6600"/>
      <rgbColor rgb="FF666699"/>
      <rgbColor rgb="FFAAAAAA"/>
      <rgbColor rgb="FF27374D"/>
      <rgbColor rgb="FF339966"/>
      <rgbColor rgb="FF003300"/>
      <rgbColor rgb="FF333300"/>
      <rgbColor rgb="FF993300"/>
      <rgbColor rgb="FF993366"/>
      <rgbColor rgb="FF333399"/>
      <rgbColor rgb="FF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xmlns:r="http://schemas.openxmlformats.org/officeDocument/2006/relationships" name="Office Theme">
  <a:themeElements>
    <a:clrScheme name="Office">
      <a:dk1>
        <a:srgbClr val="000000"/>
      </a:dk1>
      <a:lt1>
        <a:srgbClr val="ffffff"/>
      </a:lt1>
      <a:dk2>
        <a:srgbClr val="27374D"/>
      </a:dk2>
      <a:lt2>
        <a:srgbClr val="DDE6ED"/>
      </a:lt2>
      <a:accent1>
        <a:srgbClr val="526D82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itchFamily="0" charset="1"/>
        <a:ea typeface=""/>
        <a:cs typeface=""/>
      </a:majorFont>
      <a:minorFont>
        <a:latin typeface="Calibri" pitchFamily="0" charset="1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 l="0" t="0" r="0" b="0"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 l="0" t="0" r="0" b="0"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 l="0" t="0" r="0" b="0"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 l="0" t="0" r="0" b="0"/>
        </a:gradFill>
      </a:bgFillStyleLst>
    </a:fmtScheme>
  </a:themeElements>
</a:theme>
</file>

<file path=xl/worksheets/_rels/sheet1.xml.rels><Relationships xmlns="http://schemas.openxmlformats.org/package/2006/relationships"><Relationship Type="http://schemas.openxmlformats.org/officeDocument/2006/relationships/hyperlink" Target="https://www.linkedin.com/in/ahmdalsayyad/" TargetMode="External" Id="rId1"/></Relationships>
</file>

<file path=xl/worksheets/sheet1.xml><?xml version="1.0" encoding="utf-8"?>
<worksheet xmlns="http://schemas.openxmlformats.org/spreadsheetml/2006/main">
  <sheetPr filterMode="0">
    <outlinePr summaryBelow="1" summaryRight="1"/>
    <pageSetUpPr fitToPage="0"/>
  </sheetPr>
  <dimension ref="B3:C15"/>
  <sheetViews>
    <sheetView showFormulas="0" showGridLines="0" showRowColHeaders="1" showZeros="1" rightToLeft="0" tabSelected="1" showOutlineSymbols="1" defaultGridColor="1" view="normal" topLeftCell="A1" colorId="64" zoomScale="100" zoomScaleNormal="100" zoomScalePageLayoutView="100" workbookViewId="0">
      <selection pane="topLeft" activeCell="A1" activeCellId="0" sqref="A1"/>
    </sheetView>
  </sheetViews>
  <sheetFormatPr baseColWidth="8" defaultColWidth="8.6796875" defaultRowHeight="15" zeroHeight="0" outlineLevelRow="0"/>
  <cols>
    <col width="5" customWidth="1" style="15" min="1" max="1"/>
    <col width="60" customWidth="1" style="15" min="2" max="2"/>
    <col width="30" customWidth="1" style="15" min="3" max="3"/>
  </cols>
  <sheetData>
    <row r="3" ht="39.75" customHeight="1" s="16">
      <c r="B3" s="17" t="inlineStr">
        <is>
          <t>[COMPANY LOGO PLACEHOLDER]</t>
        </is>
      </c>
    </row>
    <row r="6" ht="49.5" customHeight="1" s="16">
      <c r="B6" s="18" t="inlineStr">
        <is>
          <t>Vendor Evaluation Matrix</t>
        </is>
      </c>
    </row>
    <row r="7" ht="30" customHeight="1" s="16">
      <c r="B7" s="19" t="inlineStr">
        <is>
          <t>Solution &amp; Vendor Assessment Scorecard</t>
        </is>
      </c>
    </row>
    <row r="9" ht="19.5" customHeight="1" s="16">
      <c r="B9" s="20" t="inlineStr">
        <is>
          <t>Organization:</t>
        </is>
      </c>
      <c r="C9" s="21" t="inlineStr">
        <is>
          <t>[Organization Name]</t>
        </is>
      </c>
    </row>
    <row r="10" ht="19.5" customHeight="1" s="16">
      <c r="B10" s="20" t="inlineStr">
        <is>
          <t>Prepared by:</t>
        </is>
      </c>
      <c r="C10" s="21" t="inlineStr">
        <is>
          <t>[Business Analyst Name]</t>
        </is>
      </c>
    </row>
    <row r="11" ht="19.5" customHeight="1" s="16">
      <c r="B11" s="20" t="inlineStr">
        <is>
          <t>Version:</t>
        </is>
      </c>
      <c r="C11" s="21" t="inlineStr">
        <is>
          <t>1.0</t>
        </is>
      </c>
    </row>
    <row r="12" ht="19.5" customHeight="1" s="16">
      <c r="B12" s="20" t="inlineStr">
        <is>
          <t>Date:</t>
        </is>
      </c>
      <c r="C12" s="21" t="inlineStr">
        <is>
          <t>June 2025</t>
        </is>
      </c>
    </row>
    <row r="13" ht="19.5" customHeight="1" s="16">
      <c r="B13" s="20" t="inlineStr">
        <is>
          <t>Status:</t>
        </is>
      </c>
      <c r="C13" s="21" t="inlineStr">
        <is>
          <t>Draft</t>
        </is>
      </c>
    </row>
    <row r="15">
      <c r="B15" s="22" t="inlineStr">
        <is>
          <t>Design &amp; Prepared by:</t>
        </is>
      </c>
      <c r="C15" s="23" t="inlineStr">
        <is>
          <t>Ahmed El Sayyad</t>
        </is>
      </c>
    </row>
  </sheetData>
  <mergeCells count="3">
    <mergeCell ref="B6:C6"/>
    <mergeCell ref="B7:C7"/>
    <mergeCell ref="B3:C3"/>
  </mergeCells>
  <hyperlinks>
    <hyperlink xmlns:r="http://schemas.openxmlformats.org/officeDocument/2006/relationships" ref="C15" r:id="rId1"/>
  </hyperlinks>
  <printOptions horizontalCentered="0" verticalCentered="0" headings="0" gridLines="0" gridLinesSet="1"/>
  <pageMargins left="0.75" right="0.75" top="1" bottom="1" header="0.511811023622047" footer="0.511811023622047"/>
  <pageSetup orientation="portrait" paperSize="9" scale="100" fitToHeight="1" fitToWidth="1" pageOrder="downThenOver" blackAndWhite="0" draft="0" horizontalDpi="300" verticalDpi="300" copies="1"/>
</worksheet>
</file>

<file path=xl/worksheets/sheet2.xml><?xml version="1.0" encoding="utf-8"?>
<worksheet xmlns="http://schemas.openxmlformats.org/spreadsheetml/2006/main">
  <sheetPr filterMode="0">
    <outlinePr summaryBelow="1" summaryRight="1"/>
    <pageSetUpPr fitToPage="0"/>
  </sheetPr>
  <dimension ref="A1:I10"/>
  <sheetViews>
    <sheetView showFormulas="0" showGridLines="0" showRowColHeaders="1" showZeros="1" rightToLeft="0" tabSelected="0" showOutlineSymbols="1" defaultGridColor="1" view="normal" topLeftCell="A1" colorId="64" zoomScale="100" zoomScaleNormal="100" zoomScalePageLayoutView="100" workbookViewId="0">
      <pane xSplit="0" ySplit="1" topLeftCell="A2" activePane="bottomLeft" state="frozen"/>
      <selection pane="topLeft" activeCell="A1" activeCellId="0" sqref="A1"/>
      <selection pane="bottomLeft" activeCell="A1" activeCellId="0" sqref="A1"/>
    </sheetView>
  </sheetViews>
  <sheetFormatPr baseColWidth="8" defaultColWidth="8.6796875" defaultRowHeight="15" zeroHeight="0" outlineLevelRow="0"/>
  <cols>
    <col width="35" customWidth="1" style="15" min="1" max="1"/>
    <col width="18" customWidth="1" style="15" min="2" max="2"/>
    <col width="12" customWidth="1" style="15" min="3" max="3"/>
    <col width="15" customWidth="1" style="15" min="4" max="9"/>
  </cols>
  <sheetData>
    <row r="1" ht="27.75" customHeight="1" s="16">
      <c r="A1" s="24" t="inlineStr">
        <is>
          <t>Criterion</t>
        </is>
      </c>
      <c r="B1" s="24" t="inlineStr">
        <is>
          <t>Category</t>
        </is>
      </c>
      <c r="C1" s="24" t="inlineStr">
        <is>
          <t>Weight (%)</t>
        </is>
      </c>
      <c r="D1" s="24" t="inlineStr">
        <is>
          <t>Vendor A Score (1-10)</t>
        </is>
      </c>
      <c r="E1" s="24" t="inlineStr">
        <is>
          <t>Vendor B Score (1-10)</t>
        </is>
      </c>
      <c r="F1" s="24" t="inlineStr">
        <is>
          <t>Vendor C Score (1-10)</t>
        </is>
      </c>
      <c r="G1" s="24" t="inlineStr">
        <is>
          <t>Vendor A Wtd Score</t>
        </is>
      </c>
      <c r="H1" s="24" t="inlineStr">
        <is>
          <t>Vendor B Wtd Score</t>
        </is>
      </c>
      <c r="I1" s="24" t="inlineStr">
        <is>
          <t>Vendor C Wtd Score</t>
        </is>
      </c>
    </row>
    <row r="2" ht="21.75" customHeight="1" s="16">
      <c r="A2" s="25" t="inlineStr">
        <is>
          <t>Functional Requirements Coverage</t>
        </is>
      </c>
      <c r="B2" s="25" t="inlineStr">
        <is>
          <t>Functional Fit</t>
        </is>
      </c>
      <c r="C2" s="26" t="n">
        <v>25</v>
      </c>
      <c r="D2" s="25" t="n">
        <v>8</v>
      </c>
      <c r="E2" s="25" t="n">
        <v>7</v>
      </c>
      <c r="F2" s="25" t="n">
        <v>9</v>
      </c>
      <c r="G2" s="27">
        <f>D2*C2/100</f>
        <v/>
      </c>
      <c r="H2" s="27">
        <f>E2*C2/100</f>
        <v/>
      </c>
      <c r="I2" s="27">
        <f>F2*C2/100</f>
        <v/>
      </c>
    </row>
    <row r="3" ht="21.75" customHeight="1" s="16">
      <c r="A3" s="28" t="inlineStr">
        <is>
          <t>Ease of Integration</t>
        </is>
      </c>
      <c r="B3" s="28" t="inlineStr">
        <is>
          <t>Technical</t>
        </is>
      </c>
      <c r="C3" s="29" t="n">
        <v>15</v>
      </c>
      <c r="D3" s="28" t="n">
        <v>7</v>
      </c>
      <c r="E3" s="28" t="n">
        <v>6</v>
      </c>
      <c r="F3" s="28" t="n">
        <v>9</v>
      </c>
      <c r="G3" s="30">
        <f>D3*C3/100</f>
        <v/>
      </c>
      <c r="H3" s="30">
        <f>E3*C3/100</f>
        <v/>
      </c>
      <c r="I3" s="30">
        <f>F3*C3/100</f>
        <v/>
      </c>
    </row>
    <row r="4" ht="21.75" customHeight="1" s="16">
      <c r="A4" s="25" t="inlineStr">
        <is>
          <t>Scalability &amp; Performance</t>
        </is>
      </c>
      <c r="B4" s="25" t="inlineStr">
        <is>
          <t>Technical</t>
        </is>
      </c>
      <c r="C4" s="26" t="n">
        <v>10</v>
      </c>
      <c r="D4" s="25" t="n">
        <v>9</v>
      </c>
      <c r="E4" s="25" t="n">
        <v>7</v>
      </c>
      <c r="F4" s="25" t="n">
        <v>8</v>
      </c>
      <c r="G4" s="27">
        <f>D4*C4/100</f>
        <v/>
      </c>
      <c r="H4" s="27">
        <f>E4*C4/100</f>
        <v/>
      </c>
      <c r="I4" s="27">
        <f>F4*C4/100</f>
        <v/>
      </c>
    </row>
    <row r="5" ht="21.75" customHeight="1" s="16">
      <c r="A5" s="28" t="inlineStr">
        <is>
          <t>Security &amp; Compliance</t>
        </is>
      </c>
      <c r="B5" s="28" t="inlineStr">
        <is>
          <t>Technical</t>
        </is>
      </c>
      <c r="C5" s="29" t="n">
        <v>10</v>
      </c>
      <c r="D5" s="28" t="n">
        <v>8</v>
      </c>
      <c r="E5" s="28" t="n">
        <v>8</v>
      </c>
      <c r="F5" s="28" t="n">
        <v>9</v>
      </c>
      <c r="G5" s="30">
        <f>D5*C5/100</f>
        <v/>
      </c>
      <c r="H5" s="30">
        <f>E5*C5/100</f>
        <v/>
      </c>
      <c r="I5" s="30">
        <f>F5*C5/100</f>
        <v/>
      </c>
    </row>
    <row r="6" ht="21.75" customHeight="1" s="16">
      <c r="A6" s="25" t="inlineStr">
        <is>
          <t>Total Cost of Ownership (5yr)</t>
        </is>
      </c>
      <c r="B6" s="25" t="inlineStr">
        <is>
          <t>Financial</t>
        </is>
      </c>
      <c r="C6" s="26" t="n">
        <v>20</v>
      </c>
      <c r="D6" s="25" t="n">
        <v>7</v>
      </c>
      <c r="E6" s="25" t="n">
        <v>6</v>
      </c>
      <c r="F6" s="25" t="n">
        <v>5</v>
      </c>
      <c r="G6" s="27">
        <f>D6*C6/100</f>
        <v/>
      </c>
      <c r="H6" s="27">
        <f>E6*C6/100</f>
        <v/>
      </c>
      <c r="I6" s="27">
        <f>F6*C6/100</f>
        <v/>
      </c>
    </row>
    <row r="7" ht="21.75" customHeight="1" s="16">
      <c r="A7" s="28" t="inlineStr">
        <is>
          <t>Vendor Financial Stability</t>
        </is>
      </c>
      <c r="B7" s="28" t="inlineStr">
        <is>
          <t>Vendor Risk</t>
        </is>
      </c>
      <c r="C7" s="29" t="n">
        <v>8</v>
      </c>
      <c r="D7" s="28" t="n">
        <v>8</v>
      </c>
      <c r="E7" s="28" t="n">
        <v>7</v>
      </c>
      <c r="F7" s="28" t="n">
        <v>6</v>
      </c>
      <c r="G7" s="30">
        <f>D7*C7/100</f>
        <v/>
      </c>
      <c r="H7" s="30">
        <f>E7*C7/100</f>
        <v/>
      </c>
      <c r="I7" s="30">
        <f>F7*C7/100</f>
        <v/>
      </c>
    </row>
    <row r="8" ht="21.75" customHeight="1" s="16">
      <c r="A8" s="25" t="inlineStr">
        <is>
          <t>Implementation Experience</t>
        </is>
      </c>
      <c r="B8" s="25" t="inlineStr">
        <is>
          <t>Vendor Risk</t>
        </is>
      </c>
      <c r="C8" s="26" t="n">
        <v>7</v>
      </c>
      <c r="D8" s="25" t="n">
        <v>9</v>
      </c>
      <c r="E8" s="25" t="n">
        <v>8</v>
      </c>
      <c r="F8" s="25" t="n">
        <v>6</v>
      </c>
      <c r="G8" s="27">
        <f>D8*C8/100</f>
        <v/>
      </c>
      <c r="H8" s="27">
        <f>E8*C8/100</f>
        <v/>
      </c>
      <c r="I8" s="27">
        <f>F8*C8/100</f>
        <v/>
      </c>
    </row>
    <row r="9" ht="21.75" customHeight="1" s="16">
      <c r="A9" s="28" t="inlineStr">
        <is>
          <t>Support &amp; SLA</t>
        </is>
      </c>
      <c r="B9" s="28" t="inlineStr">
        <is>
          <t>Service</t>
        </is>
      </c>
      <c r="C9" s="29" t="n">
        <v>5</v>
      </c>
      <c r="D9" s="28" t="n">
        <v>8</v>
      </c>
      <c r="E9" s="28" t="n">
        <v>7</v>
      </c>
      <c r="F9" s="28" t="n">
        <v>7</v>
      </c>
      <c r="G9" s="30">
        <f>D9*C9/100</f>
        <v/>
      </c>
      <c r="H9" s="30">
        <f>E9*C9/100</f>
        <v/>
      </c>
      <c r="I9" s="30">
        <f>F9*C9/100</f>
        <v/>
      </c>
    </row>
    <row r="10" ht="25.5" customHeight="1" s="16">
      <c r="A10" s="20" t="inlineStr">
        <is>
          <t>TOTAL WEIGHTED SCORE</t>
        </is>
      </c>
      <c r="C10" s="31">
        <f>SUM(C2:C9)</f>
        <v/>
      </c>
      <c r="G10" s="32">
        <f>SUM(G2:G9)</f>
        <v/>
      </c>
      <c r="H10" s="32">
        <f>SUM(H2:H9)</f>
        <v/>
      </c>
      <c r="I10" s="32">
        <f>SUM(I2:I9)</f>
        <v/>
      </c>
    </row>
  </sheetData>
  <printOptions horizontalCentered="0" verticalCentered="0" headings="0" gridLines="0" gridLinesSet="1"/>
  <pageMargins left="0.75" right="0.75" top="1" bottom="1" header="0.511811023622047" footer="0.511811023622047"/>
  <pageSetup orientation="portrait" paperSize="9" scale="100" fitToHeight="1" fitToWidth="1" pageOrder="downThenOver" blackAndWhite="0" draft="0" horizontalDpi="300" verticalDpi="300" copies="1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:language xmlns:dc="http://purl.org/dc/elements/1.1/">en-US</dc:language>
  <dcterms:created xmlns:dcterms="http://purl.org/dc/terms/" xmlns:xsi="http://www.w3.org/2001/XMLSchema-instance" xsi:type="dcterms:W3CDTF">2026-06-12T18:38:23Z</dcterms:created>
  <dcterms:modified xmlns:dcterms="http://purl.org/dc/terms/" xmlns:xsi="http://www.w3.org/2001/XMLSchema-instance" xsi:type="dcterms:W3CDTF">2026-09-26T10:52:07Z</dcterms:modified>
  <cp:revision>0</cp:revision>
</cp:coreProperties>
</file>