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isk Register" sheetId="2" state="visible" r:id="rId2"/>
  </sheets>
  <definedNames>
    <definedName name="_xlnm._FilterDatabase" localSheetId="1" hidden="1">'Risk Register'!$A$1:$P$200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D9B3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Risk Assessment Matrix</t>
        </is>
      </c>
    </row>
    <row r="7" ht="30" customHeight="1">
      <c r="B7" s="3" t="inlineStr">
        <is>
          <t>Project Risk Register &amp; Management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11" t="inlineStr">
        <is>
          <t>Design &amp; Prepared by:</t>
        </is>
      </c>
      <c r="C15" s="12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25" customWidth="1" min="4" max="4"/>
    <col width="25" customWidth="1" min="5" max="5"/>
    <col width="14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25" customWidth="1" min="12" max="12"/>
    <col width="15" customWidth="1" min="13" max="13"/>
    <col width="12" customWidth="1" min="14" max="14"/>
    <col width="10" customWidth="1" min="15" max="15"/>
    <col width="15" customWidth="1" min="16" max="16"/>
  </cols>
  <sheetData>
    <row r="1" ht="28" customHeight="1">
      <c r="A1" s="6" t="inlineStr">
        <is>
          <t>Risk ID</t>
        </is>
      </c>
      <c r="B1" s="6" t="inlineStr">
        <is>
          <t>Risk Category</t>
        </is>
      </c>
      <c r="C1" s="6" t="inlineStr">
        <is>
          <t>Risk Description</t>
        </is>
      </c>
      <c r="D1" s="6" t="inlineStr">
        <is>
          <t>Cause</t>
        </is>
      </c>
      <c r="E1" s="6" t="inlineStr">
        <is>
          <t>Effect/Impact</t>
        </is>
      </c>
      <c r="F1" s="6" t="inlineStr">
        <is>
          <t>Probability (1-5)</t>
        </is>
      </c>
      <c r="G1" s="6" t="inlineStr">
        <is>
          <t>Impact (1-5)</t>
        </is>
      </c>
      <c r="H1" s="6" t="inlineStr">
        <is>
          <t>Risk Score</t>
        </is>
      </c>
      <c r="I1" s="6" t="inlineStr">
        <is>
          <t>Risk Level</t>
        </is>
      </c>
      <c r="J1" s="6" t="inlineStr">
        <is>
          <t>Current Controls</t>
        </is>
      </c>
      <c r="K1" s="6" t="inlineStr">
        <is>
          <t>Mitigation Strategy</t>
        </is>
      </c>
      <c r="L1" s="6" t="inlineStr">
        <is>
          <t>Contingency Plan</t>
        </is>
      </c>
      <c r="M1" s="6" t="inlineStr">
        <is>
          <t>Risk Owner</t>
        </is>
      </c>
      <c r="N1" s="6" t="inlineStr">
        <is>
          <t>Due Date</t>
        </is>
      </c>
      <c r="O1" s="6" t="inlineStr">
        <is>
          <t>Status</t>
        </is>
      </c>
      <c r="P1" s="6" t="inlineStr">
        <is>
          <t>Residual Risk</t>
        </is>
      </c>
    </row>
    <row r="2" ht="22" customHeight="1">
      <c r="A2" s="7" t="inlineStr">
        <is>
          <t>R-001</t>
        </is>
      </c>
      <c r="B2" s="7" t="inlineStr">
        <is>
          <t>Schedule</t>
        </is>
      </c>
      <c r="C2" s="7" t="inlineStr">
        <is>
          <t>Key stakeholders unavailable during requirements phase</t>
        </is>
      </c>
      <c r="D2" s="7" t="inlineStr">
        <is>
          <t>Competing business priorities</t>
        </is>
      </c>
      <c r="E2" s="7" t="inlineStr">
        <is>
          <t>Requirements delayed; scope uncertainty</t>
        </is>
      </c>
      <c r="F2" s="8" t="n">
        <v>3</v>
      </c>
      <c r="G2" s="8" t="n">
        <v>4</v>
      </c>
      <c r="H2" s="7">
        <f>F3*G3</f>
        <v/>
      </c>
      <c r="I2" s="7">
        <f>IF(H3&gt;=15,"Critical",IF(H3&gt;=9,"High",IF(H3&gt;=5,"Medium","Low")))</f>
        <v/>
      </c>
      <c r="J2" s="7" t="inlineStr">
        <is>
          <t>Calendar invites sent; priority set</t>
        </is>
      </c>
      <c r="K2" s="7" t="inlineStr">
        <is>
          <t>Identify deputies; flexible scheduling</t>
        </is>
      </c>
      <c r="L2" s="7" t="inlineStr">
        <is>
          <t>Use documented questions if unavailable</t>
        </is>
      </c>
      <c r="M2" s="7" t="inlineStr">
        <is>
          <t>[Owner]</t>
        </is>
      </c>
      <c r="N2" s="7" t="inlineStr">
        <is>
          <t>30/06/2025</t>
        </is>
      </c>
      <c r="O2" s="7" t="inlineStr">
        <is>
          <t>Open</t>
        </is>
      </c>
      <c r="P2" s="7" t="inlineStr">
        <is>
          <t>Medium</t>
        </is>
      </c>
    </row>
    <row r="3" ht="22" customHeight="1">
      <c r="A3" s="9" t="inlineStr">
        <is>
          <t>R-002</t>
        </is>
      </c>
      <c r="B3" s="9" t="inlineStr">
        <is>
          <t>Scope</t>
        </is>
      </c>
      <c r="C3" s="9" t="inlineStr">
        <is>
          <t>Scope creep from uncontrolled change requests</t>
        </is>
      </c>
      <c r="D3" s="9" t="inlineStr">
        <is>
          <t>Stakeholders requesting new features post-baseline</t>
        </is>
      </c>
      <c r="E3" s="9" t="inlineStr">
        <is>
          <t>Budget overrun; timeline extension</t>
        </is>
      </c>
      <c r="F3" s="10" t="n">
        <v>4</v>
      </c>
      <c r="G3" s="10" t="n">
        <v>4</v>
      </c>
      <c r="H3" s="9">
        <f>F4*G4</f>
        <v/>
      </c>
      <c r="I3" s="9">
        <f>IF(H4&gt;=15,"Critical",IF(H4&gt;=9,"High",IF(H4&gt;=5,"Medium","Low")))</f>
        <v/>
      </c>
      <c r="J3" s="9" t="inlineStr">
        <is>
          <t>Change control process in place</t>
        </is>
      </c>
      <c r="K3" s="9" t="inlineStr">
        <is>
          <t>Strict change review board; impact assessment for all changes</t>
        </is>
      </c>
      <c r="L3" s="9" t="inlineStr">
        <is>
          <t>Defer to Phase 2; adjust contingency budget</t>
        </is>
      </c>
      <c r="M3" s="9" t="inlineStr">
        <is>
          <t>[Owner]</t>
        </is>
      </c>
      <c r="N3" s="9" t="inlineStr">
        <is>
          <t>Ongoing</t>
        </is>
      </c>
      <c r="O3" s="9" t="inlineStr">
        <is>
          <t>Open</t>
        </is>
      </c>
      <c r="P3" s="9" t="inlineStr">
        <is>
          <t>Medium</t>
        </is>
      </c>
    </row>
    <row r="4" ht="22" customHeight="1">
      <c r="A4" s="7" t="inlineStr">
        <is>
          <t>R-003</t>
        </is>
      </c>
      <c r="B4" s="7" t="inlineStr">
        <is>
          <t>Technical</t>
        </is>
      </c>
      <c r="C4" s="7" t="inlineStr">
        <is>
          <t>Integration with legacy system fails</t>
        </is>
      </c>
      <c r="D4" s="7" t="inlineStr">
        <is>
          <t>Technical incompatibility; API limitations</t>
        </is>
      </c>
      <c r="E4" s="7" t="inlineStr">
        <is>
          <t>Core functionality unavailable; go-live delay</t>
        </is>
      </c>
      <c r="F4" s="8" t="n">
        <v>2</v>
      </c>
      <c r="G4" s="8" t="n">
        <v>5</v>
      </c>
      <c r="H4" s="7">
        <f>F5*G5</f>
        <v/>
      </c>
      <c r="I4" s="7">
        <f>IF(H5&gt;=15,"Critical",IF(H5&gt;=9,"High",IF(H5&gt;=5,"Medium","Low")))</f>
        <v/>
      </c>
      <c r="J4" s="7" t="inlineStr">
        <is>
          <t>Technical spike planned</t>
        </is>
      </c>
      <c r="K4" s="7" t="inlineStr">
        <is>
          <t>Early proof-of-concept testing; fallback middleware</t>
        </is>
      </c>
      <c r="L4" s="7" t="inlineStr">
        <is>
          <t>Manual interim process if integration fails</t>
        </is>
      </c>
      <c r="M4" s="7" t="inlineStr">
        <is>
          <t>[IT Lead]</t>
        </is>
      </c>
      <c r="N4" s="7" t="inlineStr">
        <is>
          <t>15/07/2025</t>
        </is>
      </c>
      <c r="O4" s="7" t="inlineStr">
        <is>
          <t>Open</t>
        </is>
      </c>
      <c r="P4" s="7" t="inlineStr">
        <is>
          <t>Low</t>
        </is>
      </c>
    </row>
    <row r="5" ht="22" customHeight="1">
      <c r="A5" s="9" t="inlineStr">
        <is>
          <t>R-004</t>
        </is>
      </c>
      <c r="B5" s="9" t="inlineStr">
        <is>
          <t>People</t>
        </is>
      </c>
      <c r="C5" s="9" t="inlineStr">
        <is>
          <t>User resistance to new system</t>
        </is>
      </c>
      <c r="D5" s="9" t="inlineStr">
        <is>
          <t>Change fatigue; poor change management</t>
        </is>
      </c>
      <c r="E5" s="9" t="inlineStr">
        <is>
          <t>Low adoption; benefits not realized</t>
        </is>
      </c>
      <c r="F5" s="10" t="n">
        <v>3</v>
      </c>
      <c r="G5" s="10" t="n">
        <v>3</v>
      </c>
      <c r="H5" s="9">
        <f>F6*G6</f>
        <v/>
      </c>
      <c r="I5" s="9">
        <f>IF(H6&gt;=15,"Critical",IF(H6&gt;=9,"High",IF(H6&gt;=5,"Medium","Low")))</f>
        <v/>
      </c>
      <c r="J5" s="9" t="inlineStr">
        <is>
          <t>Change management plan in development</t>
        </is>
      </c>
      <c r="K5" s="9" t="inlineStr">
        <is>
          <t>Champion network; early user involvement; training</t>
        </is>
      </c>
      <c r="L5" s="9" t="inlineStr">
        <is>
          <t>Supplemental training; hand-holding support</t>
        </is>
      </c>
      <c r="M5" s="9" t="inlineStr">
        <is>
          <t>[Change Mgr]</t>
        </is>
      </c>
      <c r="N5" s="9" t="inlineStr">
        <is>
          <t>01/08/2025</t>
        </is>
      </c>
      <c r="O5" s="9" t="inlineStr">
        <is>
          <t>Open</t>
        </is>
      </c>
      <c r="P5" s="9" t="inlineStr">
        <is>
          <t>Low</t>
        </is>
      </c>
    </row>
  </sheetData>
  <autoFilter ref="A1:P200"/>
  <conditionalFormatting sqref="I2:I2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H2:H200">
    <cfRule type="colorScale" priority="5">
      <colorScale>
        <cfvo type="num" val="1"/>
        <cfvo type="num" val="12"/>
        <cfvo type="num" val="25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