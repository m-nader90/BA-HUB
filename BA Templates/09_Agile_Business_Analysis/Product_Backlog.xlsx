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Sprint Summary" sheetId="3" state="visible" r:id="rId3"/>
  </sheets>
  <definedNames>
    <definedName name="_xlnm._FilterDatabase" localSheetId="1" hidden="1">'Backlog'!$A$1:$M$500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7374D"/>
      <sz val="14"/>
    </font>
    <font>
      <name val="Arial"/>
      <b val="1"/>
      <color rgb="00000000"/>
      <sz val="11"/>
    </font>
    <font>
      <name val="Arial"/>
      <color rgb="00000000"/>
      <sz val="11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9" fillId="4" borderId="1" pivotButton="0" quotePrefix="0" xfId="0"/>
    <xf numFmtId="0" fontId="10" fillId="4" borderId="1" pivotButton="0" quotePrefix="0" xfId="0"/>
    <xf numFmtId="0" fontId="9" fillId="3" borderId="1" pivotButton="0" quotePrefix="0" xfId="0"/>
    <xf numFmtId="0" fontId="10" fillId="3" borderId="1" pivotButton="0" quotePrefix="0" xfId="0"/>
    <xf numFmtId="164" fontId="10" fillId="4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DDE6ED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Product Backlog &amp; User Story Register</t>
        </is>
      </c>
    </row>
    <row r="7" ht="30" customHeight="1">
      <c r="B7" s="3" t="inlineStr">
        <is>
          <t>Agile Requirements &amp; Story Management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16" t="inlineStr">
        <is>
          <t>Design &amp; Prepared by:</t>
        </is>
      </c>
      <c r="C15" s="17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55" customWidth="1" min="4" max="4"/>
    <col width="18" customWidth="1" min="5" max="5"/>
    <col width="50" customWidth="1" min="6" max="6"/>
    <col width="14" customWidth="1" min="7" max="7"/>
    <col width="14" customWidth="1" min="8" max="8"/>
    <col width="18" customWidth="1" min="9" max="9"/>
    <col width="12" customWidth="1" min="10" max="10"/>
    <col width="14" customWidth="1" min="11" max="11"/>
    <col width="15" customWidth="1" min="12" max="12"/>
    <col width="25" customWidth="1" min="13" max="13"/>
  </cols>
  <sheetData>
    <row r="1" ht="28" customHeight="1">
      <c r="A1" s="6" t="inlineStr">
        <is>
          <t>Story ID</t>
        </is>
      </c>
      <c r="B1" s="6" t="inlineStr">
        <is>
          <t>Epic</t>
        </is>
      </c>
      <c r="C1" s="6" t="inlineStr">
        <is>
          <t>Feature</t>
        </is>
      </c>
      <c r="D1" s="6" t="inlineStr">
        <is>
          <t>User Story</t>
        </is>
      </c>
      <c r="E1" s="6" t="inlineStr">
        <is>
          <t>Persona</t>
        </is>
      </c>
      <c r="F1" s="6" t="inlineStr">
        <is>
          <t>Acceptance Criteria</t>
        </is>
      </c>
      <c r="G1" s="6" t="inlineStr">
        <is>
          <t>Story Points</t>
        </is>
      </c>
      <c r="H1" s="6" t="inlineStr">
        <is>
          <t>MoSCoW</t>
        </is>
      </c>
      <c r="I1" s="6" t="inlineStr">
        <is>
          <t>Business Value (1-10)</t>
        </is>
      </c>
      <c r="J1" s="6" t="inlineStr">
        <is>
          <t>Sprint</t>
        </is>
      </c>
      <c r="K1" s="6" t="inlineStr">
        <is>
          <t>Status</t>
        </is>
      </c>
      <c r="L1" s="6" t="inlineStr">
        <is>
          <t>Assignee</t>
        </is>
      </c>
      <c r="M1" s="6" t="inlineStr">
        <is>
          <t>Notes</t>
        </is>
      </c>
    </row>
    <row r="2" ht="22" customHeight="1">
      <c r="A2" s="7" t="inlineStr">
        <is>
          <t>US-001</t>
        </is>
      </c>
      <c r="B2" s="7" t="inlineStr">
        <is>
          <t>User Management</t>
        </is>
      </c>
      <c r="C2" s="7" t="inlineStr">
        <is>
          <t>Authentication</t>
        </is>
      </c>
      <c r="D2" s="7" t="inlineStr">
        <is>
          <t>As a registered user, I want to log in with my email and password so that I can access my personalized dashboard</t>
        </is>
      </c>
      <c r="E2" s="7" t="inlineStr">
        <is>
          <t>Registered User</t>
        </is>
      </c>
      <c r="F2" s="7" t="inlineStr">
        <is>
          <t>1. Login page is accessible
2. Valid credentials redirect to dashboard
3. Invalid credentials show error
4. Account locked after 5 failed attempts</t>
        </is>
      </c>
      <c r="G2" s="7" t="n">
        <v>5</v>
      </c>
      <c r="H2" s="7" t="inlineStr">
        <is>
          <t>Must Have</t>
        </is>
      </c>
      <c r="I2" s="7" t="n">
        <v>9</v>
      </c>
      <c r="J2" s="7" t="inlineStr">
        <is>
          <t>Sprint 1</t>
        </is>
      </c>
      <c r="K2" s="7" t="inlineStr">
        <is>
          <t>Done</t>
        </is>
      </c>
      <c r="L2" s="7" t="inlineStr">
        <is>
          <t>[Dev]</t>
        </is>
      </c>
      <c r="M2" s="7" t="inlineStr"/>
    </row>
    <row r="3" ht="22" customHeight="1">
      <c r="A3" s="8" t="inlineStr">
        <is>
          <t>US-002</t>
        </is>
      </c>
      <c r="B3" s="8" t="inlineStr">
        <is>
          <t>User Management</t>
        </is>
      </c>
      <c r="C3" s="8" t="inlineStr">
        <is>
          <t>Authentication</t>
        </is>
      </c>
      <c r="D3" s="8" t="inlineStr">
        <is>
          <t>As a user, I want to reset my password via email so that I can regain access if I forget my credentials</t>
        </is>
      </c>
      <c r="E3" s="8" t="inlineStr">
        <is>
          <t>Registered User</t>
        </is>
      </c>
      <c r="F3" s="8" t="inlineStr">
        <is>
          <t>1. "Forgot password" link visible on login
2. Email received within 2 minutes
3. Link expires after 24 hours
4. Password updated successfully</t>
        </is>
      </c>
      <c r="G3" s="8" t="n">
        <v>3</v>
      </c>
      <c r="H3" s="8" t="inlineStr">
        <is>
          <t>Must Have</t>
        </is>
      </c>
      <c r="I3" s="8" t="n">
        <v>8</v>
      </c>
      <c r="J3" s="8" t="inlineStr">
        <is>
          <t>Sprint 1</t>
        </is>
      </c>
      <c r="K3" s="8" t="inlineStr">
        <is>
          <t>In Progress</t>
        </is>
      </c>
      <c r="L3" s="8" t="inlineStr">
        <is>
          <t>[Dev]</t>
        </is>
      </c>
      <c r="M3" s="8" t="inlineStr"/>
    </row>
    <row r="4" ht="22" customHeight="1">
      <c r="A4" s="7" t="inlineStr">
        <is>
          <t>US-003</t>
        </is>
      </c>
      <c r="B4" s="7" t="inlineStr">
        <is>
          <t>Reporting</t>
        </is>
      </c>
      <c r="C4" s="7" t="inlineStr">
        <is>
          <t>Dashboard</t>
        </is>
      </c>
      <c r="D4" s="7" t="inlineStr">
        <is>
          <t>As a manager, I want to view a real-time dashboard so that I can monitor key metrics without running manual reports</t>
        </is>
      </c>
      <c r="E4" s="7" t="inlineStr">
        <is>
          <t>Manager</t>
        </is>
      </c>
      <c r="F4" s="7" t="inlineStr">
        <is>
          <t>1. Dashboard loads within 3 seconds
2. Data refreshes automatically every 5 minutes
3. All 8 KPIs displayed
4. Trend indicators visible</t>
        </is>
      </c>
      <c r="G4" s="7" t="n">
        <v>8</v>
      </c>
      <c r="H4" s="7" t="inlineStr">
        <is>
          <t>Must Have</t>
        </is>
      </c>
      <c r="I4" s="7" t="n">
        <v>9</v>
      </c>
      <c r="J4" s="7" t="inlineStr">
        <is>
          <t>Sprint 2</t>
        </is>
      </c>
      <c r="K4" s="7" t="inlineStr">
        <is>
          <t>To Do</t>
        </is>
      </c>
      <c r="L4" s="7" t="inlineStr">
        <is>
          <t>[Dev]</t>
        </is>
      </c>
      <c r="M4" s="7" t="inlineStr"/>
    </row>
    <row r="5" ht="22" customHeight="1">
      <c r="A5" s="8" t="inlineStr">
        <is>
          <t>US-004</t>
        </is>
      </c>
      <c r="B5" s="8" t="inlineStr">
        <is>
          <t>Reporting</t>
        </is>
      </c>
      <c r="C5" s="8" t="inlineStr">
        <is>
          <t>Export</t>
        </is>
      </c>
      <c r="D5" s="8" t="inlineStr">
        <is>
          <t>As a finance user, I want to export data to Excel so that I can perform further analysis in my preferred tool</t>
        </is>
      </c>
      <c r="E5" s="8" t="inlineStr">
        <is>
          <t>Finance User</t>
        </is>
      </c>
      <c r="F5" s="8" t="inlineStr">
        <is>
          <t>1. Export button on all report screens
2. Exports complete within 30 seconds
3. All visible columns included
4. File opens correctly in Excel</t>
        </is>
      </c>
      <c r="G5" s="8" t="n">
        <v>3</v>
      </c>
      <c r="H5" s="8" t="inlineStr">
        <is>
          <t>Should Have</t>
        </is>
      </c>
      <c r="I5" s="8" t="n">
        <v>7</v>
      </c>
      <c r="J5" s="8" t="inlineStr">
        <is>
          <t>Sprint 3</t>
        </is>
      </c>
      <c r="K5" s="8" t="inlineStr">
        <is>
          <t>To Do</t>
        </is>
      </c>
      <c r="L5" s="8" t="inlineStr"/>
      <c r="M5" s="8" t="inlineStr"/>
    </row>
    <row r="6" ht="22" customHeight="1">
      <c r="A6" s="7" t="inlineStr">
        <is>
          <t>US-005</t>
        </is>
      </c>
      <c r="B6" s="7" t="inlineStr">
        <is>
          <t>Notifications</t>
        </is>
      </c>
      <c r="C6" s="7" t="inlineStr">
        <is>
          <t>Alerts</t>
        </is>
      </c>
      <c r="D6" s="7" t="inlineStr">
        <is>
          <t>As a user, I want to receive email notifications for important events so that I can take timely action</t>
        </is>
      </c>
      <c r="E6" s="7" t="inlineStr">
        <is>
          <t>All Users</t>
        </is>
      </c>
      <c r="F6" s="7" t="inlineStr">
        <is>
          <t>1. Notification preferences configurable
2. Emails arrive within 5 minutes
3. Unsubscribe option available
4. Email formatting professional</t>
        </is>
      </c>
      <c r="G6" s="7" t="n">
        <v>5</v>
      </c>
      <c r="H6" s="7" t="inlineStr">
        <is>
          <t>Should Have</t>
        </is>
      </c>
      <c r="I6" s="7" t="n">
        <v>7</v>
      </c>
      <c r="J6" s="7" t="inlineStr">
        <is>
          <t>Sprint 3</t>
        </is>
      </c>
      <c r="K6" s="7" t="inlineStr">
        <is>
          <t>To Do</t>
        </is>
      </c>
      <c r="L6" s="7" t="inlineStr"/>
      <c r="M6" s="7" t="inlineStr"/>
    </row>
  </sheetData>
  <autoFilter ref="A1:M500"/>
  <conditionalFormatting sqref="K2:K5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"To Do"</formula>
    </cfRule>
  </conditionalFormatting>
  <dataValidations count="2">
    <dataValidation sqref="K2:K500" showDropDown="0" showInputMessage="0" showErrorMessage="0" allowBlank="0" type="list">
      <formula1>"Backlog,To Do,In Progress,In Review,Done,Blocked,Deferred"</formula1>
    </dataValidation>
    <dataValidation sqref="H2:H500" showDropDown="0" showInputMessage="0" showErrorMessage="0" allowBlank="0" type="list">
      <formula1>"Must Have,Should Have,Could Have,Won't Have"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5" customWidth="1" min="3" max="3"/>
  </cols>
  <sheetData>
    <row r="2">
      <c r="B2" s="9" t="inlineStr">
        <is>
          <t>SPRINT &amp; BACKLOG SUMMARY</t>
        </is>
      </c>
    </row>
    <row r="4">
      <c r="B4" s="10" t="inlineStr">
        <is>
          <t>Metric</t>
        </is>
      </c>
      <c r="C4" s="10" t="inlineStr">
        <is>
          <t>Value</t>
        </is>
      </c>
    </row>
    <row r="5" ht="22" customHeight="1">
      <c r="B5" s="11" t="inlineStr">
        <is>
          <t>Total Stories</t>
        </is>
      </c>
      <c r="C5" s="12">
        <f>COUNTA(Backlog!A2:A500)</f>
        <v/>
      </c>
    </row>
    <row r="6" ht="22" customHeight="1">
      <c r="B6" s="13" t="inlineStr">
        <is>
          <t>Total Story Points</t>
        </is>
      </c>
      <c r="C6" s="14">
        <f>SUM(Backlog!G2:G500)</f>
        <v/>
      </c>
    </row>
    <row r="7" ht="22" customHeight="1">
      <c r="B7" s="11" t="inlineStr">
        <is>
          <t>Stories Done</t>
        </is>
      </c>
      <c r="C7" s="12">
        <f>COUNTIF(Backlog!K2:K500,"Done")</f>
        <v/>
      </c>
    </row>
    <row r="8" ht="22" customHeight="1">
      <c r="B8" s="13" t="inlineStr">
        <is>
          <t>Stories In Progress</t>
        </is>
      </c>
      <c r="C8" s="14">
        <f>COUNTIF(Backlog!K2:K500,"In Progress")</f>
        <v/>
      </c>
    </row>
    <row r="9" ht="22" customHeight="1">
      <c r="B9" s="11" t="inlineStr">
        <is>
          <t>Stories To Do</t>
        </is>
      </c>
      <c r="C9" s="12">
        <f>COUNTIF(Backlog!K2:K500,"To Do")</f>
        <v/>
      </c>
    </row>
    <row r="10" ht="22" customHeight="1">
      <c r="B10" s="13" t="inlineStr">
        <is>
          <t>Must Have Stories</t>
        </is>
      </c>
      <c r="C10" s="14">
        <f>COUNTIF(Backlog!H2:H500,"Must Have")</f>
        <v/>
      </c>
    </row>
    <row r="11" ht="22" customHeight="1">
      <c r="B11" s="11" t="inlineStr">
        <is>
          <t>% Complete</t>
        </is>
      </c>
      <c r="C11" s="15">
        <f>IF(COUNTA(Backlog!A2:A500)&gt;0,COUNTIF(Backlog!K2:K500,"Done")/COUNTA(Backlog!A2:A500)*100,0)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