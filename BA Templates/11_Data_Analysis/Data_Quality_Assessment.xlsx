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Assess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374D"/>
      <sz val="16"/>
    </font>
    <font>
      <name val="Arial"/>
      <b val="1"/>
      <color rgb="00000000"/>
      <sz val="11"/>
    </font>
    <font>
      <name val="Arial"/>
      <color rgb="00000000"/>
      <sz val="11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30" customWidth="1" min="11" max="11"/>
    <col width="20" customWidth="1" min="12" max="12"/>
    <col width="14" customWidth="1" min="13" max="13"/>
    <col width="16" customWidth="1" min="14" max="14"/>
    <col width="12" customWidth="1" min="15" max="15"/>
  </cols>
  <sheetData>
    <row r="1" ht="26" customHeight="1">
      <c r="A1" s="1" t="inlineStr">
        <is>
          <t>Data Element</t>
        </is>
      </c>
      <c r="B1" s="1" t="inlineStr">
        <is>
          <t>Source System</t>
        </is>
      </c>
      <c r="C1" s="1" t="inlineStr">
        <is>
          <t>Completeness %</t>
        </is>
      </c>
      <c r="D1" s="1" t="inlineStr">
        <is>
          <t>Accuracy %</t>
        </is>
      </c>
      <c r="E1" s="1" t="inlineStr">
        <is>
          <t>Consistency %</t>
        </is>
      </c>
      <c r="F1" s="1" t="inlineStr">
        <is>
          <t>Timeliness</t>
        </is>
      </c>
      <c r="G1" s="1" t="inlineStr">
        <is>
          <t>Uniqueness %</t>
        </is>
      </c>
      <c r="H1" s="1" t="inlineStr">
        <is>
          <t>Validity %</t>
        </is>
      </c>
      <c r="I1" s="1" t="inlineStr">
        <is>
          <t>Overall Score</t>
        </is>
      </c>
      <c r="J1" s="1" t="inlineStr">
        <is>
          <t>Quality Level</t>
        </is>
      </c>
      <c r="K1" s="1" t="inlineStr">
        <is>
          <t>Issues Found</t>
        </is>
      </c>
      <c r="L1" s="1" t="inlineStr">
        <is>
          <t>Cleansing Required</t>
        </is>
      </c>
      <c r="M1" s="1" t="inlineStr">
        <is>
          <t>Effort (days)</t>
        </is>
      </c>
      <c r="N1" s="1" t="inlineStr">
        <is>
          <t>Owner</t>
        </is>
      </c>
      <c r="O1" s="1" t="inlineStr">
        <is>
          <t>Status</t>
        </is>
      </c>
    </row>
    <row r="2" ht="20" customHeight="1">
      <c r="A2" s="2" t="inlineStr">
        <is>
          <t>Customer Name</t>
        </is>
      </c>
      <c r="B2" s="2" t="inlineStr">
        <is>
          <t>CRM</t>
        </is>
      </c>
      <c r="C2" s="3" t="n">
        <v>98</v>
      </c>
      <c r="D2" s="3" t="n">
        <v>95</v>
      </c>
      <c r="E2" s="3" t="n">
        <v>90</v>
      </c>
      <c r="F2" s="3" t="inlineStr">
        <is>
          <t>Real-time</t>
        </is>
      </c>
      <c r="G2" s="3" t="n">
        <v>99</v>
      </c>
      <c r="H2" s="3" t="n">
        <v>97</v>
      </c>
      <c r="I2" s="4">
        <f>AVERAGE(C3:H3)</f>
        <v/>
      </c>
      <c r="J2" s="2">
        <f>IF(I3&gt;=90,"High",IF(I3&gt;=70,"Medium","Low"))</f>
        <v/>
      </c>
      <c r="K2" s="2" t="inlineStr">
        <is>
          <t>Minor formatting inconsistencies</t>
        </is>
      </c>
      <c r="L2" s="2" t="inlineStr">
        <is>
          <t>Yes</t>
        </is>
      </c>
      <c r="M2" s="2" t="n">
        <v>2</v>
      </c>
      <c r="N2" s="2" t="inlineStr">
        <is>
          <t>[Data Steward]</t>
        </is>
      </c>
      <c r="O2" s="2" t="inlineStr">
        <is>
          <t>In Progress</t>
        </is>
      </c>
    </row>
    <row r="3" ht="20" customHeight="1">
      <c r="A3" s="5" t="inlineStr">
        <is>
          <t>Customer Email</t>
        </is>
      </c>
      <c r="B3" s="5" t="inlineStr">
        <is>
          <t>CRM</t>
        </is>
      </c>
      <c r="C3" s="6" t="n">
        <v>85</v>
      </c>
      <c r="D3" s="6" t="n">
        <v>98</v>
      </c>
      <c r="E3" s="6" t="n">
        <v>95</v>
      </c>
      <c r="F3" s="6" t="inlineStr">
        <is>
          <t>Real-time</t>
        </is>
      </c>
      <c r="G3" s="6" t="n">
        <v>94</v>
      </c>
      <c r="H3" s="6" t="n">
        <v>96</v>
      </c>
      <c r="I3" s="7">
        <f>AVERAGE(C4:H4)</f>
        <v/>
      </c>
      <c r="J3" s="5">
        <f>IF(I4&gt;=90,"High",IF(I4&gt;=70,"Medium","Low"))</f>
        <v/>
      </c>
      <c r="K3" s="5" t="inlineStr">
        <is>
          <t>15% missing; some duplicates</t>
        </is>
      </c>
      <c r="L3" s="5" t="inlineStr">
        <is>
          <t>Yes</t>
        </is>
      </c>
      <c r="M3" s="5" t="n">
        <v>5</v>
      </c>
      <c r="N3" s="5" t="inlineStr">
        <is>
          <t>[Data Steward]</t>
        </is>
      </c>
      <c r="O3" s="5" t="inlineStr">
        <is>
          <t>Open</t>
        </is>
      </c>
    </row>
    <row r="4" ht="20" customHeight="1">
      <c r="A4" s="2" t="inlineStr">
        <is>
          <t>Transaction Amount</t>
        </is>
      </c>
      <c r="B4" s="2" t="inlineStr">
        <is>
          <t>ERP</t>
        </is>
      </c>
      <c r="C4" s="3" t="n">
        <v>100</v>
      </c>
      <c r="D4" s="3" t="n">
        <v>99</v>
      </c>
      <c r="E4" s="3" t="n">
        <v>99</v>
      </c>
      <c r="F4" s="3" t="inlineStr">
        <is>
          <t>Batch nightly</t>
        </is>
      </c>
      <c r="G4" s="3" t="n">
        <v>100</v>
      </c>
      <c r="H4" s="3" t="n">
        <v>98</v>
      </c>
      <c r="I4" s="4">
        <f>AVERAGE(C5:H5)</f>
        <v/>
      </c>
      <c r="J4" s="2">
        <f>IF(I5&gt;=90,"High",IF(I5&gt;=70,"Medium","Low"))</f>
        <v/>
      </c>
      <c r="K4" s="2" t="inlineStr">
        <is>
          <t>Minor currency format issue</t>
        </is>
      </c>
      <c r="L4" s="2" t="inlineStr">
        <is>
          <t>Minimal</t>
        </is>
      </c>
      <c r="M4" s="2" t="n">
        <v>1</v>
      </c>
      <c r="N4" s="2" t="inlineStr">
        <is>
          <t>[Data Steward]</t>
        </is>
      </c>
      <c r="O4" s="2" t="inlineStr">
        <is>
          <t>Open</t>
        </is>
      </c>
    </row>
    <row r="5" ht="20" customHeight="1">
      <c r="A5" s="5" t="inlineStr">
        <is>
          <t>Product Category</t>
        </is>
      </c>
      <c r="B5" s="5" t="inlineStr">
        <is>
          <t>ERP</t>
        </is>
      </c>
      <c r="C5" s="6" t="n">
        <v>92</v>
      </c>
      <c r="D5" s="6" t="n">
        <v>85</v>
      </c>
      <c r="E5" s="6" t="n">
        <v>78</v>
      </c>
      <c r="F5" s="6" t="inlineStr">
        <is>
          <t>Batch weekly</t>
        </is>
      </c>
      <c r="G5" s="6" t="n">
        <v>96</v>
      </c>
      <c r="H5" s="6" t="n">
        <v>88</v>
      </c>
      <c r="I5" s="7">
        <f>AVERAGE(C6:H6)</f>
        <v/>
      </c>
      <c r="J5" s="5">
        <f>IF(I6&gt;=90,"High",IF(I6&gt;=70,"Medium","Low"))</f>
        <v/>
      </c>
      <c r="K5" s="5" t="inlineStr">
        <is>
          <t>Inconsistent categorization across regions</t>
        </is>
      </c>
      <c r="L5" s="5" t="inlineStr">
        <is>
          <t>Yes</t>
        </is>
      </c>
      <c r="M5" s="5" t="n">
        <v>8</v>
      </c>
      <c r="N5" s="5" t="inlineStr">
        <is>
          <t>[Data Steward]</t>
        </is>
      </c>
      <c r="O5" s="5" t="inlineStr">
        <is>
          <t>Open</t>
        </is>
      </c>
    </row>
    <row r="6" ht="20" customHeight="1">
      <c r="A6" s="2" t="inlineStr">
        <is>
          <t>Order Date</t>
        </is>
      </c>
      <c r="B6" s="2" t="inlineStr">
        <is>
          <t>ERP</t>
        </is>
      </c>
      <c r="C6" s="3" t="n">
        <v>100</v>
      </c>
      <c r="D6" s="3" t="n">
        <v>97</v>
      </c>
      <c r="E6" s="3" t="n">
        <v>95</v>
      </c>
      <c r="F6" s="3" t="inlineStr">
        <is>
          <t>Real-time</t>
        </is>
      </c>
      <c r="G6" s="3" t="n">
        <v>100</v>
      </c>
      <c r="H6" s="3" t="n">
        <v>99</v>
      </c>
      <c r="I6" s="4">
        <f>AVERAGE(C7:H7)</f>
        <v/>
      </c>
      <c r="J6" s="2">
        <f>IF(I7&gt;=90,"High",IF(I7&gt;=70,"Medium","Low"))</f>
        <v/>
      </c>
      <c r="K6" s="2" t="inlineStr">
        <is>
          <t>Timezone inconsistencies</t>
        </is>
      </c>
      <c r="L6" s="2" t="inlineStr">
        <is>
          <t>Yes</t>
        </is>
      </c>
      <c r="M6" s="2" t="n">
        <v>3</v>
      </c>
      <c r="N6" s="2" t="inlineStr">
        <is>
          <t>[Data Steward]</t>
        </is>
      </c>
      <c r="O6" s="2" t="inlineStr">
        <is>
          <t>Open</t>
        </is>
      </c>
    </row>
    <row r="8">
      <c r="A8" s="14" t="inlineStr">
        <is>
          <t>Design &amp; Prepared by:</t>
        </is>
      </c>
      <c r="B8" s="15" t="inlineStr">
        <is>
          <t>Ahmed El Sayyad</t>
        </is>
      </c>
    </row>
  </sheetData>
  <conditionalFormatting sqref="J2:J20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I2:I200">
    <cfRule type="colorScale" priority="4">
      <colorScale>
        <cfvo type="num" val="0"/>
        <cfvo type="num" val="75"/>
        <cfvo type="num" val="100"/>
        <color rgb="00F8696B"/>
        <color rgb="00FFEB9C"/>
        <color rgb="0063BE7B"/>
      </colorScale>
    </cfRule>
  </conditionalFormatting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5" customWidth="1" min="3" max="3"/>
  </cols>
  <sheetData>
    <row r="2">
      <c r="B2" s="8" t="inlineStr">
        <is>
          <t>DATA QUALITY SUMMARY DASHBOARD</t>
        </is>
      </c>
    </row>
    <row r="4" ht="25" customHeight="1">
      <c r="B4" s="9" t="inlineStr">
        <is>
          <t>Metric</t>
        </is>
      </c>
      <c r="C4" s="9" t="inlineStr">
        <is>
          <t>Value</t>
        </is>
      </c>
    </row>
    <row r="5" ht="22" customHeight="1">
      <c r="B5" s="10" t="inlineStr">
        <is>
          <t>Total Data Elements Assessed</t>
        </is>
      </c>
      <c r="C5" s="11">
        <f>COUNTA('Data Quality Assessment'!A2:A200)</f>
        <v/>
      </c>
    </row>
    <row r="6" ht="22" customHeight="1">
      <c r="B6" s="12" t="inlineStr">
        <is>
          <t>High Quality Elements (&gt;=90%)</t>
        </is>
      </c>
      <c r="C6" s="13">
        <f>COUNTIF('Data Quality Assessment'!J2:J200,"High")</f>
        <v/>
      </c>
    </row>
    <row r="7" ht="22" customHeight="1">
      <c r="B7" s="10" t="inlineStr">
        <is>
          <t>Medium Quality Elements (70-89%)</t>
        </is>
      </c>
      <c r="C7" s="11">
        <f>COUNTIF('Data Quality Assessment'!J2:J200,"Medium")</f>
        <v/>
      </c>
    </row>
    <row r="8" ht="22" customHeight="1">
      <c r="B8" s="12" t="inlineStr">
        <is>
          <t>Low Quality Elements (&lt;70%)</t>
        </is>
      </c>
      <c r="C8" s="13">
        <f>COUNTIF('Data Quality Assessment'!J2:J200,"Low")</f>
        <v/>
      </c>
    </row>
    <row r="9" ht="22" customHeight="1">
      <c r="B9" s="10" t="inlineStr">
        <is>
          <t>Elements Requiring Cleansing</t>
        </is>
      </c>
      <c r="C9" s="11">
        <f>COUNTIF('Data Quality Assessment'!L2:L200,"Yes")</f>
        <v/>
      </c>
    </row>
    <row r="10" ht="22" customHeight="1">
      <c r="B10" s="12" t="inlineStr">
        <is>
          <t>Total Cleansing Effort (days)</t>
        </is>
      </c>
      <c r="C10" s="13">
        <f>SUM('Data Quality Assessment'!M2:M200)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