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UAT Summary" sheetId="3" state="visible" r:id="rId3"/>
  </sheets>
  <definedNames>
    <definedName name="_xlnm._FilterDatabase" localSheetId="1" hidden="1">'Test Cases'!$A$1:$M$500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7374D"/>
      <sz val="16"/>
    </font>
    <font>
      <name val="Arial"/>
      <b val="1"/>
      <color rgb="00000000"/>
      <sz val="11"/>
    </font>
    <font>
      <name val="Arial"/>
      <color rgb="00000000"/>
      <sz val="11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9" fillId="4" borderId="1" pivotButton="0" quotePrefix="0" xfId="0"/>
    <xf numFmtId="0" fontId="10" fillId="4" borderId="1" pivotButton="0" quotePrefix="0" xfId="0"/>
    <xf numFmtId="0" fontId="9" fillId="3" borderId="1" pivotButton="0" quotePrefix="0" xfId="0"/>
    <xf numFmtId="0" fontId="10" fillId="3" borderId="1" pivotButton="0" quotePrefix="0" xfId="0"/>
    <xf numFmtId="164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UAT Test Cases</t>
        </is>
      </c>
    </row>
    <row r="7" ht="30" customHeight="1">
      <c r="B7" s="3" t="inlineStr">
        <is>
          <t>User Acceptance Testing Scripts &amp; Results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16" t="inlineStr">
        <is>
          <t>Design &amp; Prepared by:</t>
        </is>
      </c>
      <c r="C15" s="17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30" customWidth="1" min="4" max="4"/>
    <col width="40" customWidth="1" min="5" max="5"/>
    <col width="25" customWidth="1" min="6" max="6"/>
    <col width="40" customWidth="1" min="7" max="7"/>
    <col width="40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 ht="30" customHeight="1">
      <c r="A1" s="6" t="inlineStr">
        <is>
          <t>Test Case ID</t>
        </is>
      </c>
      <c r="B1" s="6" t="inlineStr">
        <is>
          <t>Test Scenario</t>
        </is>
      </c>
      <c r="C1" s="6" t="inlineStr">
        <is>
          <t>Requirement ID</t>
        </is>
      </c>
      <c r="D1" s="6" t="inlineStr">
        <is>
          <t>Pre-conditions</t>
        </is>
      </c>
      <c r="E1" s="6" t="inlineStr">
        <is>
          <t>Test Steps</t>
        </is>
      </c>
      <c r="F1" s="6" t="inlineStr">
        <is>
          <t>Test Data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Defect ID</t>
        </is>
      </c>
      <c r="K1" s="6" t="inlineStr">
        <is>
          <t>Tested By</t>
        </is>
      </c>
      <c r="L1" s="6" t="inlineStr">
        <is>
          <t>Test Date</t>
        </is>
      </c>
      <c r="M1" s="6" t="inlineStr">
        <is>
          <t>Comments</t>
        </is>
      </c>
    </row>
    <row r="2" ht="22" customHeight="1">
      <c r="A2" s="7" t="inlineStr">
        <is>
          <t>TC-001</t>
        </is>
      </c>
      <c r="B2" s="7" t="inlineStr">
        <is>
          <t>User Login - Valid credentials</t>
        </is>
      </c>
      <c r="C2" s="7" t="inlineStr">
        <is>
          <t>FR-001</t>
        </is>
      </c>
      <c r="D2" s="7" t="inlineStr">
        <is>
          <t>User account exists and is active</t>
        </is>
      </c>
      <c r="E2" s="7" t="inlineStr">
        <is>
          <t>1. Navigate to login page
2. Enter valid username
3. Enter valid password
4. Click Login</t>
        </is>
      </c>
      <c r="F2" s="7" t="inlineStr">
        <is>
          <t>Username: testuser@org.com
Password: Test@1234</t>
        </is>
      </c>
      <c r="G2" s="7" t="inlineStr">
        <is>
          <t>User successfully logged in and redirected to dashboard</t>
        </is>
      </c>
      <c r="H2" s="7" t="inlineStr">
        <is>
          <t>[Enter actual result]</t>
        </is>
      </c>
      <c r="I2" s="7" t="inlineStr">
        <is>
          <t>Not Started</t>
        </is>
      </c>
      <c r="J2" s="7" t="inlineStr"/>
      <c r="K2" s="7" t="inlineStr">
        <is>
          <t>[Tester Name]</t>
        </is>
      </c>
      <c r="L2" s="7" t="inlineStr"/>
      <c r="M2" s="7" t="inlineStr"/>
    </row>
    <row r="3" ht="22" customHeight="1">
      <c r="A3" s="8" t="inlineStr">
        <is>
          <t>TC-002</t>
        </is>
      </c>
      <c r="B3" s="8" t="inlineStr">
        <is>
          <t>User Login - Invalid password</t>
        </is>
      </c>
      <c r="C3" s="8" t="inlineStr">
        <is>
          <t>FR-001</t>
        </is>
      </c>
      <c r="D3" s="8" t="inlineStr">
        <is>
          <t>User account exists</t>
        </is>
      </c>
      <c r="E3" s="8" t="inlineStr">
        <is>
          <t>1. Navigate to login page
2. Enter valid username
3. Enter wrong password
4. Click Login</t>
        </is>
      </c>
      <c r="F3" s="8" t="inlineStr">
        <is>
          <t>Username: testuser@org.com
Password: WrongPass</t>
        </is>
      </c>
      <c r="G3" s="8" t="inlineStr">
        <is>
          <t>Error message displayed: "Invalid credentials. Please try again."</t>
        </is>
      </c>
      <c r="H3" s="8" t="inlineStr">
        <is>
          <t>[Enter actual result]</t>
        </is>
      </c>
      <c r="I3" s="8" t="inlineStr">
        <is>
          <t>Not Started</t>
        </is>
      </c>
      <c r="J3" s="8" t="inlineStr"/>
      <c r="K3" s="8" t="inlineStr">
        <is>
          <t>[Tester Name]</t>
        </is>
      </c>
      <c r="L3" s="8" t="inlineStr"/>
      <c r="M3" s="8" t="inlineStr"/>
    </row>
    <row r="4" ht="22" customHeight="1">
      <c r="A4" s="7" t="inlineStr">
        <is>
          <t>TC-003</t>
        </is>
      </c>
      <c r="B4" s="7" t="inlineStr">
        <is>
          <t>Password Reset - Via email</t>
        </is>
      </c>
      <c r="C4" s="7" t="inlineStr">
        <is>
          <t>FR-002</t>
        </is>
      </c>
      <c r="D4" s="7" t="inlineStr">
        <is>
          <t>Valid email registered in system</t>
        </is>
      </c>
      <c r="E4" s="7" t="inlineStr">
        <is>
          <t>1. Click "Forgot Password"
2. Enter registered email
3. Submit
4. Check email
5. Click reset link
6. Enter new password</t>
        </is>
      </c>
      <c r="F4" s="7" t="inlineStr">
        <is>
          <t>Email: testuser@org.com</t>
        </is>
      </c>
      <c r="G4" s="7" t="inlineStr">
        <is>
          <t>Password reset email received within 2 minutes; password updated successfully</t>
        </is>
      </c>
      <c r="H4" s="7" t="inlineStr">
        <is>
          <t>[Enter actual result]</t>
        </is>
      </c>
      <c r="I4" s="7" t="inlineStr">
        <is>
          <t>Not Started</t>
        </is>
      </c>
      <c r="J4" s="7" t="inlineStr"/>
      <c r="K4" s="7" t="inlineStr">
        <is>
          <t>[Tester Name]</t>
        </is>
      </c>
      <c r="L4" s="7" t="inlineStr"/>
      <c r="M4" s="7" t="inlineStr"/>
    </row>
    <row r="5" ht="22" customHeight="1">
      <c r="A5" s="8" t="inlineStr">
        <is>
          <t>TC-010</t>
        </is>
      </c>
      <c r="B5" s="8" t="inlineStr">
        <is>
          <t>System Performance - Page load time</t>
        </is>
      </c>
      <c r="C5" s="8" t="inlineStr">
        <is>
          <t>NFR-001</t>
        </is>
      </c>
      <c r="D5" s="8" t="inlineStr">
        <is>
          <t>System running under normal load</t>
        </is>
      </c>
      <c r="E5" s="8" t="inlineStr">
        <is>
          <t>1. Open browser
2. Navigate to system URL
3. Measure page load time</t>
        </is>
      </c>
      <c r="F5" s="8" t="inlineStr">
        <is>
          <t>Use browser developer tools to measure</t>
        </is>
      </c>
      <c r="G5" s="8" t="inlineStr">
        <is>
          <t>Page fully loaded within 3 seconds</t>
        </is>
      </c>
      <c r="H5" s="8" t="inlineStr">
        <is>
          <t>[Enter actual result]</t>
        </is>
      </c>
      <c r="I5" s="8" t="inlineStr">
        <is>
          <t>Not Started</t>
        </is>
      </c>
      <c r="J5" s="8" t="inlineStr"/>
      <c r="K5" s="8" t="inlineStr">
        <is>
          <t>[Tester Name]</t>
        </is>
      </c>
      <c r="L5" s="8" t="inlineStr"/>
      <c r="M5" s="8" t="inlineStr"/>
    </row>
  </sheetData>
  <autoFilter ref="A1:M500"/>
  <conditionalFormatting sqref="I2:I5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I2:I500" showDropDown="0" showInputMessage="0" showErrorMessage="0" allowBlank="0" type="list">
      <formula1>"Not Started,In Progress,Pass,Fail,Blocked,Deferred"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</cols>
  <sheetData>
    <row r="2">
      <c r="B2" s="9" t="inlineStr">
        <is>
          <t>UAT EXECUTION SUMMARY</t>
        </is>
      </c>
    </row>
    <row r="4" ht="25" customHeight="1">
      <c r="B4" s="10" t="inlineStr">
        <is>
          <t>Metric</t>
        </is>
      </c>
      <c r="C4" s="10" t="inlineStr">
        <is>
          <t>Value</t>
        </is>
      </c>
    </row>
    <row r="5" ht="22" customHeight="1">
      <c r="B5" s="11" t="inlineStr">
        <is>
          <t>Total Test Cases</t>
        </is>
      </c>
      <c r="C5" s="12">
        <f>COUNTA('Test Cases'!A2:A500)</f>
        <v/>
      </c>
    </row>
    <row r="6" ht="22" customHeight="1">
      <c r="B6" s="13" t="inlineStr">
        <is>
          <t>Not Started</t>
        </is>
      </c>
      <c r="C6" s="14">
        <f>COUNTIF('Test Cases'!I2:I500,"Not Started")</f>
        <v/>
      </c>
    </row>
    <row r="7" ht="22" customHeight="1">
      <c r="B7" s="11" t="inlineStr">
        <is>
          <t>In Progress</t>
        </is>
      </c>
      <c r="C7" s="12">
        <f>COUNTIF('Test Cases'!I2:I500,"In Progress")</f>
        <v/>
      </c>
    </row>
    <row r="8" ht="22" customHeight="1">
      <c r="B8" s="13" t="inlineStr">
        <is>
          <t>Passed</t>
        </is>
      </c>
      <c r="C8" s="14">
        <f>COUNTIF('Test Cases'!I2:I500,"Pass")</f>
        <v/>
      </c>
    </row>
    <row r="9" ht="22" customHeight="1">
      <c r="B9" s="11" t="inlineStr">
        <is>
          <t>Failed</t>
        </is>
      </c>
      <c r="C9" s="12">
        <f>COUNTIF('Test Cases'!I2:I500,"Fail")</f>
        <v/>
      </c>
    </row>
    <row r="10" ht="22" customHeight="1">
      <c r="B10" s="13" t="inlineStr">
        <is>
          <t>Blocked</t>
        </is>
      </c>
      <c r="C10" s="14">
        <f>COUNTIF('Test Cases'!I2:I500,"Blocked")</f>
        <v/>
      </c>
    </row>
    <row r="11" ht="22" customHeight="1">
      <c r="B11" s="11" t="inlineStr">
        <is>
          <t>Pass Rate %</t>
        </is>
      </c>
      <c r="C11" s="15">
        <f>IF(COUNTA('Test Cases'!A2:A500)&gt;0,COUNTIF('Test Cases'!I2:I500,"Pass")/COUNTA('Test Cases'!A2:A500)*100,0)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