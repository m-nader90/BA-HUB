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name val="Arial"/>
      <b val="1"/>
      <color rgb="0027374D"/>
      <sz val="18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FFFFFF"/>
      <sz val="13"/>
    </font>
    <font>
      <name val="Arial"/>
      <b val="1"/>
      <color rgb="00375623"/>
      <sz val="20"/>
    </font>
    <font>
      <name val="Arial"/>
      <b val="1"/>
      <color rgb="00FFFFFF"/>
      <sz val="11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526D82"/>
      </patternFill>
    </fill>
    <fill>
      <patternFill patternType="solid">
        <fgColor rgb="00C6EFCE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8" customWidth="1" min="4" max="4"/>
    <col width="14" customWidth="1" min="5" max="5"/>
    <col width="18" customWidth="1" min="6" max="6"/>
    <col width="10" customWidth="1" min="7" max="7"/>
    <col width="10" customWidth="1" min="8" max="8"/>
  </cols>
  <sheetData>
    <row r="1" ht="40" customHeight="1">
      <c r="A1" s="1" t="inlineStr">
        <is>
          <t>UAT TEST SUMMARY REPORT</t>
        </is>
      </c>
    </row>
    <row r="2" ht="20" customHeight="1">
      <c r="A2" s="2" t="inlineStr">
        <is>
          <t>Project:</t>
        </is>
      </c>
      <c r="B2" s="3" t="inlineStr">
        <is>
          <t>[Project Name]</t>
        </is>
      </c>
    </row>
    <row r="3" ht="20" customHeight="1">
      <c r="A3" s="2" t="inlineStr">
        <is>
          <t>System/Release:</t>
        </is>
      </c>
      <c r="B3" s="3" t="inlineStr">
        <is>
          <t>[System v X.X]</t>
        </is>
      </c>
    </row>
    <row r="4" ht="20" customHeight="1">
      <c r="A4" s="2" t="inlineStr">
        <is>
          <t>UAT Period:</t>
        </is>
      </c>
      <c r="B4" s="3" t="inlineStr">
        <is>
          <t>[Start] to [End]</t>
        </is>
      </c>
    </row>
    <row r="5" ht="20" customHeight="1">
      <c r="A5" s="2" t="inlineStr">
        <is>
          <t>Report Date:</t>
        </is>
      </c>
      <c r="B5" s="3" t="inlineStr">
        <is>
          <t>[DD/MM/YYYY]</t>
        </is>
      </c>
    </row>
    <row r="6" ht="20" customHeight="1">
      <c r="A6" s="2" t="inlineStr">
        <is>
          <t>Prepared By:</t>
        </is>
      </c>
      <c r="B6" s="3" t="inlineStr">
        <is>
          <t>[UAT Manager]</t>
        </is>
      </c>
    </row>
    <row r="7" ht="20" customHeight="1">
      <c r="A7" s="2" t="inlineStr">
        <is>
          <t>Report Status:</t>
        </is>
      </c>
      <c r="B7" s="3" t="inlineStr">
        <is>
          <t>Final</t>
        </is>
      </c>
    </row>
    <row r="9" ht="26" customHeight="1">
      <c r="A9" s="4" t="inlineStr">
        <is>
          <t>EXECUTIVE SUMMARY</t>
        </is>
      </c>
    </row>
    <row r="10" ht="30" customHeight="1">
      <c r="A10" s="5" t="inlineStr">
        <is>
          <t>OVERALL UAT RESULT: PASS ✓</t>
        </is>
      </c>
    </row>
    <row r="11" ht="10" customHeight="1"/>
    <row r="12" ht="26" customHeight="1">
      <c r="A12" s="6" t="inlineStr">
        <is>
          <t>TEST EXECUTION METRICS</t>
        </is>
      </c>
    </row>
    <row r="13" ht="24" customHeight="1">
      <c r="A13" s="7" t="inlineStr">
        <is>
          <t>Metric</t>
        </is>
      </c>
      <c r="B13" s="7" t="inlineStr">
        <is>
          <t>Planned</t>
        </is>
      </c>
      <c r="C13" s="7" t="inlineStr">
        <is>
          <t>Actual</t>
        </is>
      </c>
      <c r="D13" s="7" t="inlineStr">
        <is>
          <t>% Achievement</t>
        </is>
      </c>
      <c r="E13" s="7" t="inlineStr">
        <is>
          <t>Status</t>
        </is>
      </c>
    </row>
    <row r="14" ht="22" customHeight="1">
      <c r="A14" s="8" t="inlineStr">
        <is>
          <t>Test Cases Planned</t>
        </is>
      </c>
      <c r="B14" s="9" t="n">
        <v>100</v>
      </c>
      <c r="C14" s="9" t="n">
        <v>100</v>
      </c>
      <c r="D14" s="10">
        <f>C15/B15*100</f>
        <v/>
      </c>
      <c r="E14" s="9">
        <f>IF(D15&gt;=100,"PASS","FAIL")</f>
        <v/>
      </c>
    </row>
    <row r="15" ht="22" customHeight="1">
      <c r="A15" s="11" t="inlineStr">
        <is>
          <t>Test Cases Executed</t>
        </is>
      </c>
      <c r="B15" s="12" t="n">
        <v>100</v>
      </c>
      <c r="C15" s="12" t="n">
        <v>98</v>
      </c>
      <c r="D15" s="13">
        <f>C16/B16*100</f>
        <v/>
      </c>
      <c r="E15" s="12">
        <f>IF(D16&gt;=95,"PASS","FAIL")</f>
        <v/>
      </c>
    </row>
    <row r="16" ht="22" customHeight="1">
      <c r="A16" s="8" t="inlineStr">
        <is>
          <t>Test Cases Passed</t>
        </is>
      </c>
      <c r="B16" s="9" t="n">
        <v>95</v>
      </c>
      <c r="C16" s="9" t="n">
        <v>94</v>
      </c>
      <c r="D16" s="10">
        <f>C17/B17*100</f>
        <v/>
      </c>
      <c r="E16" s="9">
        <f>IF(D17&gt;=95,"PASS","FAIL")</f>
        <v/>
      </c>
    </row>
    <row r="17" ht="22" customHeight="1">
      <c r="A17" s="11" t="inlineStr">
        <is>
          <t>Test Cases Failed</t>
        </is>
      </c>
      <c r="B17" s="12" t="n">
        <v>0</v>
      </c>
      <c r="C17" s="12" t="n">
        <v>4</v>
      </c>
      <c r="D17" s="12" t="inlineStr">
        <is>
          <t>N/A</t>
        </is>
      </c>
      <c r="E17" s="12">
        <f>IF(C18=0,"PASS","REVIEW")</f>
        <v/>
      </c>
    </row>
    <row r="18" ht="22" customHeight="1">
      <c r="A18" s="8" t="inlineStr">
        <is>
          <t>P1 Critical Defects</t>
        </is>
      </c>
      <c r="B18" s="9" t="n">
        <v>0</v>
      </c>
      <c r="C18" s="9" t="n">
        <v>0</v>
      </c>
      <c r="D18" s="9" t="inlineStr">
        <is>
          <t>N/A</t>
        </is>
      </c>
      <c r="E18" s="9">
        <f>IF(C19=0,"PASS","FAIL")</f>
        <v/>
      </c>
    </row>
    <row r="19" ht="22" customHeight="1">
      <c r="A19" s="11" t="inlineStr">
        <is>
          <t>P2 High Defects</t>
        </is>
      </c>
      <c r="B19" s="12" t="n">
        <v>0</v>
      </c>
      <c r="C19" s="12" t="n">
        <v>1</v>
      </c>
      <c r="D19" s="12" t="inlineStr">
        <is>
          <t>N/A</t>
        </is>
      </c>
      <c r="E19" s="12">
        <f>IF(C20=0,"PASS","REVIEW")</f>
        <v/>
      </c>
    </row>
    <row r="20" ht="22" customHeight="1">
      <c r="A20" s="8" t="inlineStr">
        <is>
          <t>P3 Medium Defects (max 3)</t>
        </is>
      </c>
      <c r="B20" s="9" t="n">
        <v>3</v>
      </c>
      <c r="C20" s="9" t="n">
        <v>2</v>
      </c>
      <c r="D20" s="9" t="inlineStr">
        <is>
          <t>N/A</t>
        </is>
      </c>
      <c r="E20" s="9">
        <f>IF(C21&lt;=3,"PASS","FAIL")</f>
        <v/>
      </c>
    </row>
    <row r="21" ht="22" customHeight="1">
      <c r="A21" s="11" t="inlineStr">
        <is>
          <t>Defects Resolved</t>
        </is>
      </c>
      <c r="B21" s="12" t="n">
        <v>0</v>
      </c>
      <c r="C21" s="12" t="n">
        <v>4</v>
      </c>
      <c r="D21" s="13">
        <f>C22/SUM(C18:C20)*100</f>
        <v/>
      </c>
      <c r="E21" s="12">
        <f>IF(D22&gt;=90,"PASS","FAIL")</f>
        <v/>
      </c>
    </row>
    <row r="23" ht="26" customHeight="1">
      <c r="A23" s="6" t="inlineStr">
        <is>
          <t>DEFECT SUMMARY BY SEVERITY</t>
        </is>
      </c>
    </row>
    <row r="24" ht="24" customHeight="1">
      <c r="A24" s="7" t="inlineStr">
        <is>
          <t>Severity</t>
        </is>
      </c>
      <c r="B24" s="7" t="inlineStr">
        <is>
          <t>Total Raised</t>
        </is>
      </c>
      <c r="C24" s="7" t="inlineStr">
        <is>
          <t>Resolved</t>
        </is>
      </c>
      <c r="D24" s="7" t="inlineStr">
        <is>
          <t>Open</t>
        </is>
      </c>
      <c r="E24" s="7" t="inlineStr">
        <is>
          <t>Deferred</t>
        </is>
      </c>
      <c r="F24" s="7" t="inlineStr">
        <is>
          <t>Resolution Rate</t>
        </is>
      </c>
    </row>
    <row r="25" ht="22" customHeight="1">
      <c r="A25" s="11" t="inlineStr">
        <is>
          <t>P1 - Critical</t>
        </is>
      </c>
      <c r="B25" s="12" t="n">
        <v>0</v>
      </c>
      <c r="C25" s="12" t="n">
        <v>0</v>
      </c>
      <c r="D25" s="12" t="n">
        <v>0</v>
      </c>
      <c r="E25" s="12" t="n">
        <v>0</v>
      </c>
      <c r="F25" s="12" t="inlineStr">
        <is>
          <t>N/A</t>
        </is>
      </c>
    </row>
    <row r="26" ht="22" customHeight="1">
      <c r="A26" s="8" t="inlineStr">
        <is>
          <t>P2 - High</t>
        </is>
      </c>
      <c r="B26" s="9" t="n">
        <v>1</v>
      </c>
      <c r="C26" s="9" t="n">
        <v>1</v>
      </c>
      <c r="D26" s="9" t="n">
        <v>0</v>
      </c>
      <c r="E26" s="9" t="n">
        <v>0</v>
      </c>
      <c r="F26" s="9" t="inlineStr">
        <is>
          <t>100%</t>
        </is>
      </c>
    </row>
    <row r="27" ht="22" customHeight="1">
      <c r="A27" s="11" t="inlineStr">
        <is>
          <t>P3 - Medium</t>
        </is>
      </c>
      <c r="B27" s="12" t="n">
        <v>3</v>
      </c>
      <c r="C27" s="12" t="n">
        <v>2</v>
      </c>
      <c r="D27" s="12" t="n">
        <v>1</v>
      </c>
      <c r="E27" s="12" t="n">
        <v>0</v>
      </c>
      <c r="F27" s="12" t="inlineStr">
        <is>
          <t>67%</t>
        </is>
      </c>
    </row>
    <row r="28" ht="22" customHeight="1">
      <c r="A28" s="8" t="inlineStr">
        <is>
          <t>P4 - Low</t>
        </is>
      </c>
      <c r="B28" s="9" t="n">
        <v>2</v>
      </c>
      <c r="C28" s="9" t="n">
        <v>1</v>
      </c>
      <c r="D28" s="9" t="n">
        <v>1</v>
      </c>
      <c r="E28" s="9" t="n">
        <v>0</v>
      </c>
      <c r="F28" s="9" t="inlineStr">
        <is>
          <t>50%</t>
        </is>
      </c>
    </row>
    <row r="29" ht="22" customHeight="1">
      <c r="A29" s="14" t="inlineStr">
        <is>
          <t>TOTAL</t>
        </is>
      </c>
      <c r="B29" s="15" t="n">
        <v>6</v>
      </c>
      <c r="C29" s="15" t="n">
        <v>4</v>
      </c>
      <c r="D29" s="15" t="n">
        <v>2</v>
      </c>
      <c r="E29" s="15" t="n">
        <v>0</v>
      </c>
      <c r="F29" s="15" t="inlineStr">
        <is>
          <t>67%</t>
        </is>
      </c>
    </row>
    <row r="31">
      <c r="A31" s="16" t="inlineStr">
        <is>
          <t>Design &amp; Prepared by:</t>
        </is>
      </c>
      <c r="B31" s="17" t="inlineStr">
        <is>
          <t>Ahmed El Sayyad</t>
        </is>
      </c>
    </row>
  </sheetData>
  <mergeCells count="5">
    <mergeCell ref="A9:H9"/>
    <mergeCell ref="A12:H12"/>
    <mergeCell ref="A10:H11"/>
    <mergeCell ref="A1:H1"/>
    <mergeCell ref="A23:H23"/>
  </mergeCells>
  <conditionalFormatting sqref="E14:E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"REVIEW"</formula>
    </cfRule>
  </conditionalFormatting>
  <hyperlinks>
    <hyperlink xmlns:r="http://schemas.openxmlformats.org/officeDocument/2006/relationships" ref="B3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2026-06-12T23:42:13Z</dcterms:created>
  <dcterms:modified xmlns:dcterms="http://purl.org/dc/terms/" xmlns:xsi="http://www.w3.org/2001/XMLSchema-instance" xsi:type="dcterms:W3CDTF">2026-09-26T10:52:07Z</dcterms:modified>
</cp:coreProperties>
</file>