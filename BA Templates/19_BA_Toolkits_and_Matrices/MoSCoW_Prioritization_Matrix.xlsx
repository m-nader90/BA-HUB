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SCoW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'MoSCoW Matrix'!$A$1:$K$500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5700"/>
      <sz val="10"/>
    </font>
    <font>
      <name val="Arial"/>
      <b val="1"/>
      <color rgb="0027374D"/>
      <sz val="10"/>
    </font>
    <font>
      <name val="Arial"/>
      <b val="1"/>
      <color rgb="00595959"/>
      <sz val="10"/>
    </font>
    <font>
      <name val="Arial"/>
      <b val="1"/>
      <color rgb="0027374D"/>
      <sz val="14"/>
    </font>
    <font>
      <name val="Arial"/>
      <color rgb="00000000"/>
      <sz val="11"/>
    </font>
    <font>
      <i val="1"/>
      <color rgb="007A8A99"/>
      <sz val="9"/>
    </font>
    <font>
      <i val="1"/>
      <color rgb="00526D82"/>
      <sz val="9"/>
      <u val="single"/>
    </font>
  </fonts>
  <fills count="9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DE6E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4" borderId="1" pivotButton="0" quotePrefix="0" xfId="0"/>
    <xf numFmtId="0" fontId="1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4" fillId="7" borderId="1" pivotButton="0" quotePrefix="0" xfId="0"/>
    <xf numFmtId="0" fontId="4" fillId="3" borderId="1" pivotButton="0" quotePrefix="0" xfId="0"/>
    <xf numFmtId="0" fontId="4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MoSCoW Prioritization Matrix</t>
        </is>
      </c>
    </row>
    <row r="7" ht="30" customHeight="1">
      <c r="B7" s="3" t="inlineStr">
        <is>
          <t>Requirements Prioritization Framework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23" t="inlineStr">
        <is>
          <t>Design &amp; Prepared by:</t>
        </is>
      </c>
      <c r="C15" s="24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6" customWidth="1" min="4" max="4"/>
    <col width="16" customWidth="1" min="5" max="5"/>
    <col width="20" customWidth="1" min="6" max="6"/>
    <col width="12" customWidth="1" min="7" max="7"/>
    <col width="15" customWidth="1" min="8" max="8"/>
    <col width="18" customWidth="1" min="9" max="9"/>
    <col width="35" customWidth="1" min="10" max="10"/>
    <col width="12" customWidth="1" min="11" max="11"/>
  </cols>
  <sheetData>
    <row r="1" ht="28" customHeight="1">
      <c r="A1" s="6" t="inlineStr">
        <is>
          <t>Req ID</t>
        </is>
      </c>
      <c r="B1" s="6" t="inlineStr">
        <is>
          <t>Requirement Description</t>
        </is>
      </c>
      <c r="C1" s="6" t="inlineStr">
        <is>
          <t>Category</t>
        </is>
      </c>
      <c r="D1" s="6" t="inlineStr">
        <is>
          <t>MoSCoW Priority</t>
        </is>
      </c>
      <c r="E1" s="6" t="inlineStr">
        <is>
          <t>Business Value (1-10)</t>
        </is>
      </c>
      <c r="F1" s="6" t="inlineStr">
        <is>
          <t>Implementation Effort (1-10)</t>
        </is>
      </c>
      <c r="G1" s="6" t="inlineStr">
        <is>
          <t>Risk Level</t>
        </is>
      </c>
      <c r="H1" s="6" t="inlineStr">
        <is>
          <t>Dependency</t>
        </is>
      </c>
      <c r="I1" s="6" t="inlineStr">
        <is>
          <t>Stakeholder</t>
        </is>
      </c>
      <c r="J1" s="6" t="inlineStr">
        <is>
          <t>Justification</t>
        </is>
      </c>
      <c r="K1" s="6" t="inlineStr">
        <is>
          <t>Status</t>
        </is>
      </c>
    </row>
    <row r="2" ht="22" customHeight="1">
      <c r="A2" s="7" t="inlineStr">
        <is>
          <t>BR-001</t>
        </is>
      </c>
      <c r="B2" s="7" t="inlineStr">
        <is>
          <t>User authentication and access control</t>
        </is>
      </c>
      <c r="C2" s="7" t="inlineStr">
        <is>
          <t>Security</t>
        </is>
      </c>
      <c r="D2" s="8" t="inlineStr">
        <is>
          <t>Must Have</t>
        </is>
      </c>
      <c r="E2" s="7" t="n">
        <v>9</v>
      </c>
      <c r="F2" s="7" t="n">
        <v>3</v>
      </c>
      <c r="G2" s="7" t="inlineStr">
        <is>
          <t>Low</t>
        </is>
      </c>
      <c r="H2" s="7" t="inlineStr">
        <is>
          <t>None</t>
        </is>
      </c>
      <c r="I2" s="7" t="inlineStr">
        <is>
          <t>[Sponsor]</t>
        </is>
      </c>
      <c r="J2" s="7" t="inlineStr">
        <is>
          <t>Core security requirement - regulatory</t>
        </is>
      </c>
      <c r="K2" s="7" t="inlineStr">
        <is>
          <t>Approved</t>
        </is>
      </c>
    </row>
    <row r="3" ht="22" customHeight="1">
      <c r="A3" s="9" t="inlineStr">
        <is>
          <t>BR-002</t>
        </is>
      </c>
      <c r="B3" s="9" t="inlineStr">
        <is>
          <t>Automated report generation</t>
        </is>
      </c>
      <c r="C3" s="9" t="inlineStr">
        <is>
          <t>Reporting</t>
        </is>
      </c>
      <c r="D3" s="8" t="inlineStr">
        <is>
          <t>Must Have</t>
        </is>
      </c>
      <c r="E3" s="9" t="n">
        <v>8</v>
      </c>
      <c r="F3" s="9" t="n">
        <v>5</v>
      </c>
      <c r="G3" s="9" t="inlineStr">
        <is>
          <t>Medium</t>
        </is>
      </c>
      <c r="H3" s="9" t="inlineStr">
        <is>
          <t>BR-001</t>
        </is>
      </c>
      <c r="I3" s="9" t="inlineStr">
        <is>
          <t>[BizOwner]</t>
        </is>
      </c>
      <c r="J3" s="9" t="inlineStr">
        <is>
          <t>Critical for daily operations</t>
        </is>
      </c>
      <c r="K3" s="9" t="inlineStr">
        <is>
          <t>Approved</t>
        </is>
      </c>
    </row>
    <row r="4" ht="22" customHeight="1">
      <c r="A4" s="7" t="inlineStr">
        <is>
          <t>BR-003</t>
        </is>
      </c>
      <c r="B4" s="7" t="inlineStr">
        <is>
          <t>Advanced analytics dashboard</t>
        </is>
      </c>
      <c r="C4" s="7" t="inlineStr">
        <is>
          <t>Analytics</t>
        </is>
      </c>
      <c r="D4" s="10" t="inlineStr">
        <is>
          <t>Should Have</t>
        </is>
      </c>
      <c r="E4" s="7" t="n">
        <v>7</v>
      </c>
      <c r="F4" s="7" t="n">
        <v>7</v>
      </c>
      <c r="G4" s="7" t="inlineStr">
        <is>
          <t>Medium</t>
        </is>
      </c>
      <c r="H4" s="7" t="inlineStr">
        <is>
          <t>BR-002</t>
        </is>
      </c>
      <c r="I4" s="7" t="inlineStr">
        <is>
          <t>[BizOwner]</t>
        </is>
      </c>
      <c r="J4" s="7" t="inlineStr">
        <is>
          <t>High value but not day-1 blocker</t>
        </is>
      </c>
      <c r="K4" s="7" t="inlineStr">
        <is>
          <t>In Review</t>
        </is>
      </c>
    </row>
    <row r="5" ht="22" customHeight="1">
      <c r="A5" s="9" t="inlineStr">
        <is>
          <t>BR-004</t>
        </is>
      </c>
      <c r="B5" s="9" t="inlineStr">
        <is>
          <t>Mobile application</t>
        </is>
      </c>
      <c r="C5" s="9" t="inlineStr">
        <is>
          <t>Usability</t>
        </is>
      </c>
      <c r="D5" s="11" t="inlineStr">
        <is>
          <t>Could Have</t>
        </is>
      </c>
      <c r="E5" s="9" t="n">
        <v>6</v>
      </c>
      <c r="F5" s="9" t="n">
        <v>8</v>
      </c>
      <c r="G5" s="9" t="inlineStr">
        <is>
          <t>High</t>
        </is>
      </c>
      <c r="H5" s="9" t="inlineStr">
        <is>
          <t>BR-001</t>
        </is>
      </c>
      <c r="I5" s="9" t="inlineStr">
        <is>
          <t>[Users]</t>
        </is>
      </c>
      <c r="J5" s="9" t="inlineStr">
        <is>
          <t>Nice to have; defer to Phase 2</t>
        </is>
      </c>
      <c r="K5" s="9" t="inlineStr">
        <is>
          <t>Deferred</t>
        </is>
      </c>
    </row>
    <row r="6" ht="22" customHeight="1">
      <c r="A6" s="7" t="inlineStr">
        <is>
          <t>BR-005</t>
        </is>
      </c>
      <c r="B6" s="7" t="inlineStr">
        <is>
          <t>AI-powered recommendations</t>
        </is>
      </c>
      <c r="C6" s="7" t="inlineStr">
        <is>
          <t>Innovation</t>
        </is>
      </c>
      <c r="D6" s="12" t="inlineStr">
        <is>
          <t>Won't Have</t>
        </is>
      </c>
      <c r="E6" s="7" t="n">
        <v>5</v>
      </c>
      <c r="F6" s="7" t="n">
        <v>9</v>
      </c>
      <c r="G6" s="7" t="inlineStr">
        <is>
          <t>High</t>
        </is>
      </c>
      <c r="H6" s="7" t="inlineStr">
        <is>
          <t>BR-003</t>
        </is>
      </c>
      <c r="I6" s="7" t="inlineStr">
        <is>
          <t>[Strategy]</t>
        </is>
      </c>
      <c r="J6" s="7" t="inlineStr">
        <is>
          <t>Future roadmap item; out of scope Phase 1</t>
        </is>
      </c>
      <c r="K6" s="7" t="inlineStr">
        <is>
          <t>Deferred</t>
        </is>
      </c>
    </row>
    <row r="7" ht="22" customHeight="1">
      <c r="A7" s="9" t="inlineStr">
        <is>
          <t>BR-006</t>
        </is>
      </c>
      <c r="B7" s="9" t="inlineStr">
        <is>
          <t>Audit trail and compliance logging</t>
        </is>
      </c>
      <c r="C7" s="9" t="inlineStr">
        <is>
          <t>Compliance</t>
        </is>
      </c>
      <c r="D7" s="8" t="inlineStr">
        <is>
          <t>Must Have</t>
        </is>
      </c>
      <c r="E7" s="9" t="n">
        <v>8</v>
      </c>
      <c r="F7" s="9" t="n">
        <v>4</v>
      </c>
      <c r="G7" s="9" t="inlineStr">
        <is>
          <t>Low</t>
        </is>
      </c>
      <c r="H7" s="9" t="inlineStr">
        <is>
          <t>BR-001</t>
        </is>
      </c>
      <c r="I7" s="9" t="inlineStr">
        <is>
          <t>[Compliance]</t>
        </is>
      </c>
      <c r="J7" s="9" t="inlineStr">
        <is>
          <t>Regulatory requirement - mandatory</t>
        </is>
      </c>
      <c r="K7" s="9" t="inlineStr">
        <is>
          <t>Approved</t>
        </is>
      </c>
    </row>
    <row r="8" ht="22" customHeight="1">
      <c r="A8" s="7" t="inlineStr">
        <is>
          <t>BR-007</t>
        </is>
      </c>
      <c r="B8" s="7" t="inlineStr">
        <is>
          <t>Email notification system</t>
        </is>
      </c>
      <c r="C8" s="7" t="inlineStr">
        <is>
          <t>Communication</t>
        </is>
      </c>
      <c r="D8" s="10" t="inlineStr">
        <is>
          <t>Should Have</t>
        </is>
      </c>
      <c r="E8" s="7" t="n">
        <v>7</v>
      </c>
      <c r="F8" s="7" t="n">
        <v>3</v>
      </c>
      <c r="G8" s="7" t="inlineStr">
        <is>
          <t>Low</t>
        </is>
      </c>
      <c r="H8" s="7" t="inlineStr">
        <is>
          <t>BR-001</t>
        </is>
      </c>
      <c r="I8" s="7" t="inlineStr">
        <is>
          <t>[Users]</t>
        </is>
      </c>
      <c r="J8" s="7" t="inlineStr">
        <is>
          <t>Significant efficiency gain</t>
        </is>
      </c>
      <c r="K8" s="7" t="inlineStr">
        <is>
          <t>Approved</t>
        </is>
      </c>
    </row>
  </sheetData>
  <autoFilter ref="A1:K500"/>
  <dataValidations count="1">
    <dataValidation sqref="D2:D500" showDropDown="0" showInputMessage="0" showErrorMessage="0" allowBlank="0" type="list">
      <formula1>"Must Have,Should Have,Could Have,Won't Have"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5" customWidth="1" min="4" max="4"/>
  </cols>
  <sheetData>
    <row r="2">
      <c r="B2" s="13" t="inlineStr">
        <is>
          <t>MoSCoW PRIORITIZATION SUMMARY</t>
        </is>
      </c>
    </row>
    <row r="4" ht="25" customHeight="1">
      <c r="B4" s="14" t="inlineStr">
        <is>
          <t>Priority</t>
        </is>
      </c>
      <c r="C4" s="14" t="inlineStr">
        <is>
          <t>Count</t>
        </is>
      </c>
      <c r="D4" s="14" t="inlineStr">
        <is>
          <t>% of Total</t>
        </is>
      </c>
    </row>
    <row r="5" ht="22" customHeight="1">
      <c r="B5" s="15" t="inlineStr">
        <is>
          <t>Must Have</t>
        </is>
      </c>
      <c r="C5" s="16">
        <f>COUNTIF('MoSCoW Matrix'!D2:D200,"Must Have")</f>
        <v/>
      </c>
      <c r="D5" s="17">
        <f>C5/C9*100</f>
        <v/>
      </c>
    </row>
    <row r="6" ht="22" customHeight="1">
      <c r="B6" s="18" t="inlineStr">
        <is>
          <t>Should Have</t>
        </is>
      </c>
      <c r="C6" s="16">
        <f>COUNTIF('MoSCoW Matrix'!D2:D200,"Should Have")</f>
        <v/>
      </c>
      <c r="D6" s="17">
        <f>C6/C9*100</f>
        <v/>
      </c>
    </row>
    <row r="7" ht="22" customHeight="1">
      <c r="B7" s="19" t="inlineStr">
        <is>
          <t>Could Have</t>
        </is>
      </c>
      <c r="C7" s="16">
        <f>COUNTIF('MoSCoW Matrix'!D2:D200,"Could Have")</f>
        <v/>
      </c>
      <c r="D7" s="17">
        <f>C7/C9*100</f>
        <v/>
      </c>
    </row>
    <row r="8" ht="22" customHeight="1">
      <c r="B8" s="20" t="inlineStr">
        <is>
          <t>Won't Have</t>
        </is>
      </c>
      <c r="C8" s="16">
        <f>COUNTIF('MoSCoW Matrix'!D2:D200,"Won't Have")</f>
        <v/>
      </c>
      <c r="D8" s="17">
        <f>C8/C9*100</f>
        <v/>
      </c>
    </row>
    <row r="9" ht="22" customHeight="1">
      <c r="B9" s="21" t="inlineStr">
        <is>
          <t>TOTAL</t>
        </is>
      </c>
      <c r="C9" s="16">
        <f>COUNTA('MoSCoW Matrix'!A2:A200)</f>
        <v/>
      </c>
      <c r="D9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2026-09-26T10:52:06Z</dcterms:modified>
</cp:coreProperties>
</file>