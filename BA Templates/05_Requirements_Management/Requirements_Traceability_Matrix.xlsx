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Summary Dashboard" sheetId="3" state="visible" r:id="rId3"/>
  </sheets>
  <definedNames>
    <definedName name="_xlnm._FilterDatabase" localSheetId="1" hidden="1">'RTM'!$A$1:$L$200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AAAAAA"/>
      <sz val="14"/>
    </font>
    <font>
      <name val="Arial"/>
      <charset val="1"/>
      <family val="0"/>
      <b val="1"/>
      <color rgb="FF27374D"/>
      <sz val="28"/>
    </font>
    <font>
      <name val="Arial"/>
      <charset val="1"/>
      <family val="0"/>
      <color rgb="FF526D82"/>
      <sz val="14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27374D"/>
      <sz val="16"/>
    </font>
    <font>
      <name val="Arial"/>
      <charset val="1"/>
      <family val="0"/>
      <color rgb="FF000000"/>
      <sz val="11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FF27374D"/>
        <bgColor rgb="FF333333"/>
      </patternFill>
    </fill>
    <fill>
      <patternFill patternType="solid">
        <fgColor rgb="FFE9EFF3"/>
        <bgColor rgb="FFFFFFFF"/>
      </patternFill>
    </fill>
    <fill>
      <patternFill patternType="solid">
        <fgColor rgb="FFFFFFFF"/>
        <bgColor rgb="FFE9EFF3"/>
      </patternFill>
    </fill>
  </fills>
  <borders count="2">
    <border>
      <left/>
      <right/>
      <top/>
      <bottom/>
      <diagonal/>
    </border>
    <border>
      <left style="thin">
        <color rgb="FF9DB2BF"/>
      </left>
      <right style="thin">
        <color rgb="FF9DB2BF"/>
      </right>
      <top style="thin">
        <color rgb="FF9DB2BF"/>
      </top>
      <bottom style="thin">
        <color rgb="FF9DB2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14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27374D"/>
          <bgColor rgb="FF000000"/>
        </patternFill>
      </fill>
    </dxf>
    <dxf>
      <fill>
        <patternFill patternType="solid">
          <fgColor rgb="FFE9EF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B2BF"/>
      <rgbColor rgb="FF808080"/>
      <rgbColor rgb="FF9999FF"/>
      <rgbColor rgb="FF993366"/>
      <rgbColor rgb="FFE9EF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526D82"/>
      <rgbColor rgb="FF33CCCC"/>
      <rgbColor rgb="FF99CC00"/>
      <rgbColor rgb="FFFFCC00"/>
      <rgbColor rgb="FFFF9900"/>
      <rgbColor rgb="FFFF6600"/>
      <rgbColor rgb="FF666699"/>
      <rgbColor rgb="FFAAAAAA"/>
      <rgbColor rgb="FF2737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3:C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5" min="1" max="1"/>
    <col width="60" customWidth="1" style="15" min="2" max="2"/>
    <col width="30" customWidth="1" style="15" min="3" max="3"/>
  </cols>
  <sheetData>
    <row r="3" ht="39.75" customHeight="1" s="16">
      <c r="B3" s="17" t="inlineStr">
        <is>
          <t>[COMPANY LOGO PLACEHOLDER]</t>
        </is>
      </c>
    </row>
    <row r="6" ht="49.5" customHeight="1" s="16">
      <c r="B6" s="18" t="inlineStr">
        <is>
          <t>Requirements Traceability Matrix</t>
        </is>
      </c>
    </row>
    <row r="7" ht="30" customHeight="1" s="16">
      <c r="B7" s="19" t="inlineStr">
        <is>
          <t>Full Requirements Coverage &amp; Test Traceability</t>
        </is>
      </c>
    </row>
    <row r="9" ht="19.5" customHeight="1" s="16">
      <c r="B9" s="20" t="inlineStr">
        <is>
          <t>Organization:</t>
        </is>
      </c>
      <c r="C9" s="21" t="inlineStr">
        <is>
          <t>[Organization Name]</t>
        </is>
      </c>
    </row>
    <row r="10" ht="19.5" customHeight="1" s="16">
      <c r="B10" s="20" t="inlineStr">
        <is>
          <t>Prepared by:</t>
        </is>
      </c>
      <c r="C10" s="21" t="inlineStr">
        <is>
          <t>[Business Analyst Name]</t>
        </is>
      </c>
    </row>
    <row r="11" ht="19.5" customHeight="1" s="16">
      <c r="B11" s="20" t="inlineStr">
        <is>
          <t>Version:</t>
        </is>
      </c>
      <c r="C11" s="21" t="inlineStr">
        <is>
          <t>1.0</t>
        </is>
      </c>
    </row>
    <row r="12" ht="19.5" customHeight="1" s="16">
      <c r="B12" s="20" t="inlineStr">
        <is>
          <t>Date:</t>
        </is>
      </c>
      <c r="C12" s="21" t="inlineStr">
        <is>
          <t>June 2025</t>
        </is>
      </c>
    </row>
    <row r="13" ht="19.5" customHeight="1" s="16">
      <c r="B13" s="20" t="inlineStr">
        <is>
          <t>Status:</t>
        </is>
      </c>
      <c r="C13" s="21" t="inlineStr">
        <is>
          <t>Draft</t>
        </is>
      </c>
    </row>
    <row r="15">
      <c r="B15" s="22" t="inlineStr">
        <is>
          <t>Design &amp; Prepared by:</t>
        </is>
      </c>
      <c r="C15" s="23" t="inlineStr">
        <is>
          <t>Ahmed El Sayyad</t>
        </is>
      </c>
    </row>
  </sheetData>
  <mergeCells count="3">
    <mergeCell ref="B6:C6"/>
    <mergeCell ref="B7:C7"/>
    <mergeCell ref="B3:C3"/>
  </mergeCells>
  <hyperlinks>
    <hyperlink xmlns:r="http://schemas.openxmlformats.org/officeDocument/2006/relationships" ref="C15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" min="1" max="1"/>
    <col width="16" customWidth="1" style="15" min="2" max="2"/>
    <col width="45" customWidth="1" style="15" min="3" max="3"/>
    <col width="14" customWidth="1" style="15" min="4" max="4"/>
    <col width="20" customWidth="1" style="15" min="5" max="5"/>
    <col width="15" customWidth="1" style="15" min="6" max="6"/>
    <col width="14" customWidth="1" style="15" min="7" max="7"/>
    <col width="20" customWidth="1" style="15" min="8" max="8"/>
    <col width="14" customWidth="1" style="15" min="9" max="9"/>
    <col width="12" customWidth="1" style="15" min="10" max="10"/>
    <col width="14" customWidth="1" style="15" min="11" max="11"/>
    <col width="25" customWidth="1" style="15" min="12" max="12"/>
  </cols>
  <sheetData>
    <row r="1" ht="27.75" customHeight="1" s="16">
      <c r="A1" s="24" t="inlineStr">
        <is>
          <t>Req ID</t>
        </is>
      </c>
      <c r="B1" s="24" t="inlineStr">
        <is>
          <t>Type</t>
        </is>
      </c>
      <c r="C1" s="24" t="inlineStr">
        <is>
          <t>Requirement Description</t>
        </is>
      </c>
      <c r="D1" s="24" t="inlineStr">
        <is>
          <t>Priority</t>
        </is>
      </c>
      <c r="E1" s="24" t="inlineStr">
        <is>
          <t>Business Objective</t>
        </is>
      </c>
      <c r="F1" s="24" t="inlineStr">
        <is>
          <t>Source</t>
        </is>
      </c>
      <c r="G1" s="24" t="inlineStr">
        <is>
          <t>Status</t>
        </is>
      </c>
      <c r="H1" s="24" t="inlineStr">
        <is>
          <t>Test Case ID</t>
        </is>
      </c>
      <c r="I1" s="24" t="inlineStr">
        <is>
          <t>Test Status</t>
        </is>
      </c>
      <c r="J1" s="24" t="inlineStr">
        <is>
          <t>UAT Status</t>
        </is>
      </c>
      <c r="K1" s="24" t="inlineStr">
        <is>
          <t>Go-Live Status</t>
        </is>
      </c>
      <c r="L1" s="24" t="inlineStr">
        <is>
          <t>Comments</t>
        </is>
      </c>
    </row>
    <row r="2" ht="21.75" customHeight="1" s="16">
      <c r="A2" s="25" t="inlineStr">
        <is>
          <t>BR-001</t>
        </is>
      </c>
      <c r="B2" s="25" t="inlineStr">
        <is>
          <t>Business</t>
        </is>
      </c>
      <c r="C2" s="25" t="inlineStr">
        <is>
          <t>The system shall allow administrators to manage user accounts</t>
        </is>
      </c>
      <c r="D2" s="25" t="inlineStr">
        <is>
          <t>Must Have</t>
        </is>
      </c>
      <c r="E2" s="25" t="inlineStr">
        <is>
          <t>BO-01</t>
        </is>
      </c>
      <c r="F2" s="25" t="inlineStr">
        <is>
          <t>Workshop</t>
        </is>
      </c>
      <c r="G2" s="25" t="inlineStr">
        <is>
          <t>Approved</t>
        </is>
      </c>
      <c r="H2" s="25" t="inlineStr">
        <is>
          <t>TC-001, TC-002</t>
        </is>
      </c>
      <c r="I2" s="25" t="inlineStr">
        <is>
          <t>Pass</t>
        </is>
      </c>
      <c r="J2" s="25" t="inlineStr">
        <is>
          <t>Pass</t>
        </is>
      </c>
      <c r="K2" s="25" t="inlineStr">
        <is>
          <t>Deployed</t>
        </is>
      </c>
      <c r="L2" s="25" t="n"/>
    </row>
    <row r="3" ht="21.75" customHeight="1" s="16">
      <c r="A3" s="26" t="inlineStr">
        <is>
          <t>BR-002</t>
        </is>
      </c>
      <c r="B3" s="26" t="inlineStr">
        <is>
          <t>Business</t>
        </is>
      </c>
      <c r="C3" s="26" t="inlineStr">
        <is>
          <t>System shall generate automated reports on schedule</t>
        </is>
      </c>
      <c r="D3" s="26" t="inlineStr">
        <is>
          <t>Should Have</t>
        </is>
      </c>
      <c r="E3" s="26" t="inlineStr">
        <is>
          <t>BO-02</t>
        </is>
      </c>
      <c r="F3" s="26" t="inlineStr">
        <is>
          <t>BRD v1.0</t>
        </is>
      </c>
      <c r="G3" s="26" t="inlineStr">
        <is>
          <t>Approved</t>
        </is>
      </c>
      <c r="H3" s="26" t="inlineStr">
        <is>
          <t>TC-003</t>
        </is>
      </c>
      <c r="I3" s="26" t="inlineStr">
        <is>
          <t>Pass</t>
        </is>
      </c>
      <c r="J3" s="26" t="inlineStr">
        <is>
          <t>Pending</t>
        </is>
      </c>
      <c r="K3" s="26" t="inlineStr">
        <is>
          <t>Pending</t>
        </is>
      </c>
      <c r="L3" s="26" t="n"/>
    </row>
    <row r="4" ht="21.75" customHeight="1" s="16">
      <c r="A4" s="25" t="inlineStr">
        <is>
          <t>FR-001</t>
        </is>
      </c>
      <c r="B4" s="25" t="inlineStr">
        <is>
          <t>Functional</t>
        </is>
      </c>
      <c r="C4" s="25" t="inlineStr">
        <is>
          <t>User login with username and password</t>
        </is>
      </c>
      <c r="D4" s="25" t="inlineStr">
        <is>
          <t>Must Have</t>
        </is>
      </c>
      <c r="E4" s="25" t="inlineStr">
        <is>
          <t>BR-001</t>
        </is>
      </c>
      <c r="F4" s="25" t="inlineStr">
        <is>
          <t>Workshop</t>
        </is>
      </c>
      <c r="G4" s="25" t="inlineStr">
        <is>
          <t>Approved</t>
        </is>
      </c>
      <c r="H4" s="25" t="inlineStr">
        <is>
          <t>TC-001</t>
        </is>
      </c>
      <c r="I4" s="25" t="inlineStr">
        <is>
          <t>Pass</t>
        </is>
      </c>
      <c r="J4" s="25" t="inlineStr">
        <is>
          <t>Pass</t>
        </is>
      </c>
      <c r="K4" s="25" t="inlineStr">
        <is>
          <t>Deployed</t>
        </is>
      </c>
      <c r="L4" s="25" t="n"/>
    </row>
    <row r="5" ht="21.75" customHeight="1" s="16">
      <c r="A5" s="26" t="inlineStr">
        <is>
          <t>FR-002</t>
        </is>
      </c>
      <c r="B5" s="26" t="inlineStr">
        <is>
          <t>Functional</t>
        </is>
      </c>
      <c r="C5" s="26" t="inlineStr">
        <is>
          <t>Password reset via email verification</t>
        </is>
      </c>
      <c r="D5" s="26" t="inlineStr">
        <is>
          <t>Must Have</t>
        </is>
      </c>
      <c r="E5" s="26" t="inlineStr">
        <is>
          <t>BR-001</t>
        </is>
      </c>
      <c r="F5" s="26" t="inlineStr">
        <is>
          <t>Workshop</t>
        </is>
      </c>
      <c r="G5" s="26" t="inlineStr">
        <is>
          <t>Approved</t>
        </is>
      </c>
      <c r="H5" s="26" t="inlineStr">
        <is>
          <t>TC-002</t>
        </is>
      </c>
      <c r="I5" s="26" t="inlineStr">
        <is>
          <t>Pass</t>
        </is>
      </c>
      <c r="J5" s="26" t="inlineStr">
        <is>
          <t>Pending</t>
        </is>
      </c>
      <c r="K5" s="26" t="inlineStr">
        <is>
          <t>Pending</t>
        </is>
      </c>
      <c r="L5" s="26" t="inlineStr">
        <is>
          <t>Under testing</t>
        </is>
      </c>
    </row>
    <row r="6" ht="21.75" customHeight="1" s="16">
      <c r="A6" s="25" t="inlineStr">
        <is>
          <t>FR-003</t>
        </is>
      </c>
      <c r="B6" s="25" t="inlineStr">
        <is>
          <t>Functional</t>
        </is>
      </c>
      <c r="C6" s="25" t="inlineStr">
        <is>
          <t>Daily and weekly report generation</t>
        </is>
      </c>
      <c r="D6" s="25" t="inlineStr">
        <is>
          <t>Should Have</t>
        </is>
      </c>
      <c r="E6" s="25" t="inlineStr">
        <is>
          <t>BR-002</t>
        </is>
      </c>
      <c r="F6" s="25" t="inlineStr">
        <is>
          <t>Interviews</t>
        </is>
      </c>
      <c r="G6" s="25" t="inlineStr">
        <is>
          <t>Draft</t>
        </is>
      </c>
      <c r="H6" s="25" t="inlineStr">
        <is>
          <t>TC-003</t>
        </is>
      </c>
      <c r="I6" s="25" t="inlineStr">
        <is>
          <t>Not Started</t>
        </is>
      </c>
      <c r="J6" s="25" t="inlineStr">
        <is>
          <t>Not Started</t>
        </is>
      </c>
      <c r="K6" s="25" t="inlineStr">
        <is>
          <t>Not Started</t>
        </is>
      </c>
      <c r="L6" s="25" t="n"/>
    </row>
    <row r="7" ht="21.75" customHeight="1" s="16">
      <c r="A7" s="26" t="inlineStr">
        <is>
          <t>NFR-001</t>
        </is>
      </c>
      <c r="B7" s="26" t="inlineStr">
        <is>
          <t>Non-Functional</t>
        </is>
      </c>
      <c r="C7" s="26" t="inlineStr">
        <is>
          <t>System response time &lt; 3 seconds</t>
        </is>
      </c>
      <c r="D7" s="26" t="inlineStr">
        <is>
          <t>Must Have</t>
        </is>
      </c>
      <c r="E7" s="26" t="inlineStr">
        <is>
          <t>BO-01</t>
        </is>
      </c>
      <c r="F7" s="26" t="inlineStr">
        <is>
          <t>NFR Doc</t>
        </is>
      </c>
      <c r="G7" s="26" t="inlineStr">
        <is>
          <t>Approved</t>
        </is>
      </c>
      <c r="H7" s="26" t="inlineStr">
        <is>
          <t>TC-010</t>
        </is>
      </c>
      <c r="I7" s="26" t="inlineStr">
        <is>
          <t>Pass</t>
        </is>
      </c>
      <c r="J7" s="26" t="inlineStr">
        <is>
          <t>Pass</t>
        </is>
      </c>
      <c r="K7" s="26" t="inlineStr">
        <is>
          <t>Deployed</t>
        </is>
      </c>
      <c r="L7" s="26" t="n"/>
    </row>
    <row r="8" ht="21.75" customHeight="1" s="16">
      <c r="A8" s="25" t="inlineStr">
        <is>
          <t>NFR-002</t>
        </is>
      </c>
      <c r="B8" s="25" t="inlineStr">
        <is>
          <t>Non-Functional</t>
        </is>
      </c>
      <c r="C8" s="25" t="inlineStr">
        <is>
          <t>99.9% system availability</t>
        </is>
      </c>
      <c r="D8" s="25" t="inlineStr">
        <is>
          <t>Must Have</t>
        </is>
      </c>
      <c r="E8" s="25" t="inlineStr">
        <is>
          <t>BO-01</t>
        </is>
      </c>
      <c r="F8" s="25" t="inlineStr">
        <is>
          <t>NFR Doc</t>
        </is>
      </c>
      <c r="G8" s="25" t="inlineStr">
        <is>
          <t>Approved</t>
        </is>
      </c>
      <c r="H8" s="25" t="inlineStr">
        <is>
          <t>TC-011</t>
        </is>
      </c>
      <c r="I8" s="25" t="inlineStr">
        <is>
          <t>Not Started</t>
        </is>
      </c>
      <c r="J8" s="25" t="inlineStr">
        <is>
          <t>Not Started</t>
        </is>
      </c>
      <c r="K8" s="25" t="inlineStr">
        <is>
          <t>Not Started</t>
        </is>
      </c>
      <c r="L8" s="25" t="n"/>
    </row>
  </sheetData>
  <autoFilter ref="A1:L200"/>
  <conditionalFormatting sqref="G2:G200">
    <cfRule type="cellIs" rank="0" priority="2" equalAverage="0" operator="equal" aboveAverage="0" dxfId="7" text="" percent="0" bottom="0">
      <formula>"Approved"</formula>
    </cfRule>
    <cfRule type="cellIs" rank="0" priority="3" equalAverage="0" operator="equal" aboveAverage="0" dxfId="7" text="" percent="0" bottom="0">
      <formula>"Pass"</formula>
    </cfRule>
    <cfRule type="cellIs" rank="0" priority="4" equalAverage="0" operator="equal" aboveAverage="0" dxfId="7" text="" percent="0" bottom="0">
      <formula>"Deployed"</formula>
    </cfRule>
    <cfRule type="cellIs" rank="0" priority="5" equalAverage="0" operator="equal" aboveAverage="0" dxfId="8" text="" percent="0" bottom="0">
      <formula>"Fail"</formula>
    </cfRule>
    <cfRule type="cellIs" rank="0" priority="6" equalAverage="0" operator="equal" aboveAverage="0" dxfId="9" text="" percent="0" bottom="0">
      <formula>"Draft"</formula>
    </cfRule>
    <cfRule type="cellIs" rank="0" priority="7" equalAverage="0" operator="equal" aboveAverage="0" dxfId="9" text="" percent="0" bottom="0">
      <formula>"Pending"</formula>
    </cfRule>
  </conditionalFormatting>
  <conditionalFormatting sqref="I2:I200">
    <cfRule type="cellIs" rank="0" priority="8" equalAverage="0" operator="equal" aboveAverage="0" dxfId="7" text="" percent="0" bottom="0">
      <formula>"Approved"</formula>
    </cfRule>
    <cfRule type="cellIs" rank="0" priority="9" equalAverage="0" operator="equal" aboveAverage="0" dxfId="7" text="" percent="0" bottom="0">
      <formula>"Pass"</formula>
    </cfRule>
    <cfRule type="cellIs" rank="0" priority="10" equalAverage="0" operator="equal" aboveAverage="0" dxfId="7" text="" percent="0" bottom="0">
      <formula>"Deployed"</formula>
    </cfRule>
    <cfRule type="cellIs" rank="0" priority="11" equalAverage="0" operator="equal" aboveAverage="0" dxfId="8" text="" percent="0" bottom="0">
      <formula>"Fail"</formula>
    </cfRule>
    <cfRule type="cellIs" rank="0" priority="12" equalAverage="0" operator="equal" aboveAverage="0" dxfId="9" text="" percent="0" bottom="0">
      <formula>"Draft"</formula>
    </cfRule>
    <cfRule type="cellIs" rank="0" priority="13" equalAverage="0" operator="equal" aboveAverage="0" dxfId="9" text="" percent="0" bottom="0">
      <formula>"Pending"</formula>
    </cfRule>
  </conditionalFormatting>
  <conditionalFormatting sqref="J2:J200">
    <cfRule type="cellIs" rank="0" priority="14" equalAverage="0" operator="equal" aboveAverage="0" dxfId="7" text="" percent="0" bottom="0">
      <formula>"Approved"</formula>
    </cfRule>
    <cfRule type="cellIs" rank="0" priority="15" equalAverage="0" operator="equal" aboveAverage="0" dxfId="7" text="" percent="0" bottom="0">
      <formula>"Pass"</formula>
    </cfRule>
    <cfRule type="cellIs" rank="0" priority="16" equalAverage="0" operator="equal" aboveAverage="0" dxfId="7" text="" percent="0" bottom="0">
      <formula>"Deployed"</formula>
    </cfRule>
    <cfRule type="cellIs" rank="0" priority="17" equalAverage="0" operator="equal" aboveAverage="0" dxfId="8" text="" percent="0" bottom="0">
      <formula>"Fail"</formula>
    </cfRule>
    <cfRule type="cellIs" rank="0" priority="18" equalAverage="0" operator="equal" aboveAverage="0" dxfId="9" text="" percent="0" bottom="0">
      <formula>"Draft"</formula>
    </cfRule>
    <cfRule type="cellIs" rank="0" priority="19" equalAverage="0" operator="equal" aboveAverage="0" dxfId="9" text="" percent="0" bottom="0">
      <formula>"Pending"</formula>
    </cfRule>
  </conditionalFormatting>
  <conditionalFormatting sqref="K2:K200">
    <cfRule type="cellIs" rank="0" priority="20" equalAverage="0" operator="equal" aboveAverage="0" dxfId="7" text="" percent="0" bottom="0">
      <formula>"Approved"</formula>
    </cfRule>
    <cfRule type="cellIs" rank="0" priority="21" equalAverage="0" operator="equal" aboveAverage="0" dxfId="7" text="" percent="0" bottom="0">
      <formula>"Pass"</formula>
    </cfRule>
    <cfRule type="cellIs" rank="0" priority="22" equalAverage="0" operator="equal" aboveAverage="0" dxfId="7" text="" percent="0" bottom="0">
      <formula>"Deployed"</formula>
    </cfRule>
    <cfRule type="cellIs" rank="0" priority="23" equalAverage="0" operator="equal" aboveAverage="0" dxfId="8" text="" percent="0" bottom="0">
      <formula>"Fail"</formula>
    </cfRule>
    <cfRule type="cellIs" rank="0" priority="24" equalAverage="0" operator="equal" aboveAverage="0" dxfId="9" text="" percent="0" bottom="0">
      <formula>"Draft"</formula>
    </cfRule>
    <cfRule type="cellIs" rank="0" priority="25" equalAverage="0" operator="equal" aboveAverage="0" dxfId="9" text="" percent="0" bottom="0">
      <formula>"Pending"</formula>
    </cfRule>
  </conditionalFormatting>
  <dataValidations count="4">
    <dataValidation sqref="B2:B200" showDropDown="0" showInputMessage="0" showErrorMessage="0" allowBlank="0" type="list" errorStyle="stop" operator="between">
      <formula1>"Business,Functional,Non-Functional,Business Rule,Data"</formula1>
      <formula2>0</formula2>
    </dataValidation>
    <dataValidation sqref="D2:D200" showDropDown="0" showInputMessage="0" showErrorMessage="0" allowBlank="0" type="list" errorStyle="stop" operator="between">
      <formula1>"Must Have,Should Have,Could Have,Won't Have"</formula1>
      <formula2>0</formula2>
    </dataValidation>
    <dataValidation sqref="G2:G200" showDropDown="0" showInputMessage="0" showErrorMessage="0" allowBlank="0" type="list" errorStyle="stop" operator="between">
      <formula1>"Draft,In Review,Approved,Deferred,Rejected"</formula1>
      <formula2>0</formula2>
    </dataValidation>
    <dataValidation sqref="I2:K200" showDropDown="0" showInputMessage="0" showErrorMessage="0" allowBlank="0" type="list" errorStyle="stop" operator="between">
      <formula1>"Not Started,In Progress,Pass,Fail,Blocked"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5" min="1" max="1"/>
    <col width="30" customWidth="1" style="15" min="2" max="2"/>
    <col width="15" customWidth="1" style="15" min="3" max="5"/>
  </cols>
  <sheetData>
    <row r="2" ht="19.7" customHeight="1" s="16">
      <c r="B2" s="27" t="inlineStr">
        <is>
          <t>REQUIREMENTS TRACEABILITY SUMMARY</t>
        </is>
      </c>
    </row>
    <row r="4" ht="24.75" customHeight="1" s="16">
      <c r="B4" s="28" t="inlineStr">
        <is>
          <t>Metric</t>
        </is>
      </c>
      <c r="C4" s="28" t="inlineStr">
        <is>
          <t>Count</t>
        </is>
      </c>
      <c r="D4" s="28" t="inlineStr">
        <is>
          <t>Target</t>
        </is>
      </c>
      <c r="E4" s="28" t="inlineStr">
        <is>
          <t>Status</t>
        </is>
      </c>
    </row>
    <row r="5" ht="21.75" customHeight="1" s="16">
      <c r="B5" s="29" t="inlineStr">
        <is>
          <t>Total Requirements</t>
        </is>
      </c>
      <c r="C5" s="30">
        <f>COUNTA(RTM!A2:A200)</f>
        <v/>
      </c>
      <c r="D5" s="30" t="inlineStr">
        <is>
          <t>-</t>
        </is>
      </c>
      <c r="E5" s="30" t="n"/>
    </row>
    <row r="6" ht="21.75" customHeight="1" s="16">
      <c r="B6" s="31" t="inlineStr">
        <is>
          <t>Must Have Requirements</t>
        </is>
      </c>
      <c r="C6" s="32">
        <f>COUNTIF(RTM!D2:D200,"Must Have")</f>
        <v/>
      </c>
      <c r="D6" s="32" t="inlineStr">
        <is>
          <t>-</t>
        </is>
      </c>
      <c r="E6" s="32" t="n"/>
    </row>
    <row r="7" ht="21.75" customHeight="1" s="16">
      <c r="B7" s="29" t="inlineStr">
        <is>
          <t>Requirements Approved</t>
        </is>
      </c>
      <c r="C7" s="30">
        <f>COUNTIF(RTM!G2:G200,"Approved")</f>
        <v/>
      </c>
      <c r="D7" s="30" t="inlineStr">
        <is>
          <t>-</t>
        </is>
      </c>
      <c r="E7" s="30" t="n"/>
    </row>
    <row r="8" ht="21.75" customHeight="1" s="16">
      <c r="B8" s="31" t="inlineStr">
        <is>
          <t>Requirements Draft</t>
        </is>
      </c>
      <c r="C8" s="32">
        <f>COUNTIF(RTM!G2:G200,"Draft")</f>
        <v/>
      </c>
      <c r="D8" s="32" t="inlineStr">
        <is>
          <t>-</t>
        </is>
      </c>
      <c r="E8" s="32" t="n"/>
    </row>
    <row r="9" ht="21.75" customHeight="1" s="16">
      <c r="B9" s="29" t="inlineStr">
        <is>
          <t>Test Cases Passed</t>
        </is>
      </c>
      <c r="C9" s="30">
        <f>COUNTIF(RTM!I2:I200,"Pass")</f>
        <v/>
      </c>
      <c r="D9" s="30" t="inlineStr">
        <is>
          <t>-</t>
        </is>
      </c>
      <c r="E9" s="30" t="n"/>
    </row>
    <row r="10" ht="21.75" customHeight="1" s="16">
      <c r="B10" s="31" t="inlineStr">
        <is>
          <t>UAT Passed</t>
        </is>
      </c>
      <c r="C10" s="32">
        <f>COUNTIF(RTM!J2:J200,"Pass")</f>
        <v/>
      </c>
      <c r="D10" s="32" t="inlineStr">
        <is>
          <t>-</t>
        </is>
      </c>
      <c r="E10" s="32" t="n"/>
    </row>
    <row r="11" ht="21.75" customHeight="1" s="16">
      <c r="B11" s="29" t="inlineStr">
        <is>
          <t>Deployed to Production</t>
        </is>
      </c>
      <c r="C11" s="30">
        <f>COUNTIF(RTM!K2:K200,"Deployed")</f>
        <v/>
      </c>
      <c r="D11" s="30" t="inlineStr">
        <is>
          <t>-</t>
        </is>
      </c>
      <c r="E11" s="3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  <cp:revision>0</cp:revision>
</cp:coreProperties>
</file>