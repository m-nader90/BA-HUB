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Tracking" sheetId="1" state="visible" r:id="rId1"/>
  </sheets>
  <definedNames>
    <definedName name="_xlnm._FilterDatabase" localSheetId="0" hidden="1">'Benefits Tracking'!$A$1:$V$200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14" customWidth="1" min="4" max="4"/>
    <col width="12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  <col width="12" customWidth="1" min="20" max="20"/>
    <col width="15" customWidth="1" min="21" max="21"/>
    <col width="14" customWidth="1" min="22" max="22"/>
  </cols>
  <sheetData>
    <row r="1" ht="28" customHeight="1">
      <c r="A1" s="1" t="inlineStr">
        <is>
          <t>Benefit ID</t>
        </is>
      </c>
      <c r="B1" s="1" t="inlineStr">
        <is>
          <t>Benefit Name</t>
        </is>
      </c>
      <c r="C1" s="1" t="inlineStr">
        <is>
          <t>Metric</t>
        </is>
      </c>
      <c r="D1" s="1" t="inlineStr">
        <is>
          <t>Owner</t>
        </is>
      </c>
      <c r="E1" s="1" t="inlineStr">
        <is>
          <t>Baseline</t>
        </is>
      </c>
      <c r="F1" s="1" t="inlineStr">
        <is>
          <t>Annual Target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Jul</t>
        </is>
      </c>
      <c r="N1" s="1" t="inlineStr">
        <is>
          <t>Aug</t>
        </is>
      </c>
      <c r="O1" s="1" t="inlineStr">
        <is>
          <t>Sep</t>
        </is>
      </c>
      <c r="P1" s="1" t="inlineStr">
        <is>
          <t>Oct</t>
        </is>
      </c>
      <c r="Q1" s="1" t="inlineStr">
        <is>
          <t>Nov</t>
        </is>
      </c>
      <c r="R1" s="1" t="inlineStr">
        <is>
          <t>Dec</t>
        </is>
      </c>
      <c r="S1" s="1" t="inlineStr">
        <is>
          <t>YTD Actual</t>
        </is>
      </c>
      <c r="T1" s="1" t="inlineStr">
        <is>
          <t>YTD Target</t>
        </is>
      </c>
      <c r="U1" s="1" t="inlineStr">
        <is>
          <t>Achievement %</t>
        </is>
      </c>
      <c r="V1" s="1" t="inlineStr">
        <is>
          <t>RAG Status</t>
        </is>
      </c>
    </row>
    <row r="2" ht="20" customHeight="1">
      <c r="A2" s="2" t="inlineStr">
        <is>
          <t>BEN-001</t>
        </is>
      </c>
      <c r="B2" s="2" t="inlineStr">
        <is>
          <t>Process Time Reduction</t>
        </is>
      </c>
      <c r="C2" s="2" t="inlineStr">
        <is>
          <t>Avg processing time (hrs)</t>
        </is>
      </c>
      <c r="D2" s="2" t="inlineStr">
        <is>
          <t>[Owner]</t>
        </is>
      </c>
      <c r="E2" s="2" t="n">
        <v>48</v>
      </c>
      <c r="F2" s="2" t="n">
        <v>8</v>
      </c>
      <c r="G2" s="3" t="n">
        <v>42</v>
      </c>
      <c r="H2" s="3" t="n">
        <v>38</v>
      </c>
      <c r="I2" s="3" t="n">
        <v>32</v>
      </c>
      <c r="J2" s="3" t="n">
        <v>28</v>
      </c>
      <c r="K2" s="3" t="n">
        <v>22</v>
      </c>
      <c r="L2" s="3" t="n">
        <v>18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>
        <f>AVERAGE(G3:R3)</f>
        <v/>
      </c>
      <c r="T2" s="3">
        <f>((S3-E3)/(F3-E3))*100 if not 0</f>
        <v/>
      </c>
      <c r="U2" s="2">
        <f>IF(S3&lt;=F3,"On Target",IF(S3&lt;=E3*0.5,"At Risk","Behind"))</f>
        <v/>
      </c>
      <c r="V2" s="2" t="inlineStr"/>
    </row>
    <row r="3" ht="20" customHeight="1">
      <c r="A3" s="4" t="inlineStr">
        <is>
          <t>BEN-002</t>
        </is>
      </c>
      <c r="B3" s="4" t="inlineStr">
        <is>
          <t>Cost Savings ($K)</t>
        </is>
      </c>
      <c r="C3" s="4" t="inlineStr">
        <is>
          <t>Monthly cost savings</t>
        </is>
      </c>
      <c r="D3" s="4" t="inlineStr">
        <is>
          <t>[Owner]</t>
        </is>
      </c>
      <c r="E3" s="4" t="n">
        <v>0</v>
      </c>
      <c r="F3" s="4" t="n">
        <v>25</v>
      </c>
      <c r="G3" s="5" t="n">
        <v>5</v>
      </c>
      <c r="H3" s="5" t="n">
        <v>8</v>
      </c>
      <c r="I3" s="5" t="n">
        <v>12</v>
      </c>
      <c r="J3" s="5" t="n">
        <v>15</v>
      </c>
      <c r="K3" s="5" t="n">
        <v>18</v>
      </c>
      <c r="L3" s="5" t="n">
        <v>22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>
        <f>SUM(G4:R4)</f>
        <v/>
      </c>
      <c r="T3" s="5">
        <f>T4/300*100</f>
        <v/>
      </c>
      <c r="U3" s="4">
        <f>IF(T4&gt;=300,"On Target",IF(T4&gt;=200,"At Risk","Behind"))</f>
        <v/>
      </c>
      <c r="V3" s="4" t="inlineStr"/>
    </row>
    <row r="4" ht="20" customHeight="1">
      <c r="A4" s="2" t="inlineStr">
        <is>
          <t>BEN-003</t>
        </is>
      </c>
      <c r="B4" s="2" t="inlineStr">
        <is>
          <t>Customer Satisfaction</t>
        </is>
      </c>
      <c r="C4" s="2" t="inlineStr">
        <is>
          <t>CSAT Score (1-5)</t>
        </is>
      </c>
      <c r="D4" s="2" t="inlineStr">
        <is>
          <t>[Owner]</t>
        </is>
      </c>
      <c r="E4" s="2" t="n">
        <v>3.8</v>
      </c>
      <c r="F4" s="2" t="n">
        <v>4.5</v>
      </c>
      <c r="G4" s="3" t="n">
        <v>3.9</v>
      </c>
      <c r="H4" s="3" t="n">
        <v>4</v>
      </c>
      <c r="I4" s="3" t="n">
        <v>4.1</v>
      </c>
      <c r="J4" s="3" t="n">
        <v>4.2</v>
      </c>
      <c r="K4" s="3" t="n">
        <v>4.3</v>
      </c>
      <c r="L4" s="3" t="n">
        <v>4.4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>
        <f>AVERAGE(G5:L5)</f>
        <v/>
      </c>
      <c r="T4" s="3">
        <f>IF(S5&gt;=F5,"On Target",IF(S5&gt;=4.0,"At Risk","Behind"))</f>
        <v/>
      </c>
      <c r="U4" s="2" t="inlineStr"/>
      <c r="V4" s="2" t="inlineStr"/>
    </row>
    <row r="5" ht="20" customHeight="1">
      <c r="A5" s="4" t="inlineStr">
        <is>
          <t>BEN-004</t>
        </is>
      </c>
      <c r="B5" s="4" t="inlineStr">
        <is>
          <t>Error Rate Reduction</t>
        </is>
      </c>
      <c r="C5" s="4" t="inlineStr">
        <is>
          <t>Error rate %</t>
        </is>
      </c>
      <c r="D5" s="4" t="inlineStr">
        <is>
          <t>[Owner]</t>
        </is>
      </c>
      <c r="E5" s="4" t="n">
        <v>5</v>
      </c>
      <c r="F5" s="4" t="n">
        <v>0.5</v>
      </c>
      <c r="G5" s="5" t="n">
        <v>4.5</v>
      </c>
      <c r="H5" s="5" t="n">
        <v>4</v>
      </c>
      <c r="I5" s="5" t="n">
        <v>3.2</v>
      </c>
      <c r="J5" s="5" t="n">
        <v>2.5</v>
      </c>
      <c r="K5" s="5" t="n">
        <v>1.8</v>
      </c>
      <c r="L5" s="5" t="n">
        <v>1.2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>
        <f>AVERAGE(G6:L6)</f>
        <v/>
      </c>
      <c r="T5" s="5">
        <f>IF(S6&lt;=F6,"On Target",IF(S6&lt;=2.0,"At Risk","Behind"))</f>
        <v/>
      </c>
      <c r="U5" s="4" t="inlineStr"/>
      <c r="V5" s="4" t="inlineStr"/>
    </row>
    <row r="7">
      <c r="A7" s="6" t="inlineStr">
        <is>
          <t>Design &amp; Prepared by:</t>
        </is>
      </c>
      <c r="B7" s="7" t="inlineStr">
        <is>
          <t>Ahmed El Sayyad</t>
        </is>
      </c>
    </row>
  </sheetData>
  <autoFilter ref="A1:V200"/>
  <conditionalFormatting sqref="V2:V200">
    <cfRule type="cellIs" priority="1" operator="equal" dxfId="0">
      <formula>"On Target"</formula>
    </cfRule>
    <cfRule type="cellIs" priority="2" operator="equal" dxfId="1">
      <formula>"At Risk"</formula>
    </cfRule>
    <cfRule type="cellIs" priority="3" operator="equal" dxfId="2">
      <formula>"Behind"</formula>
    </cfRule>
  </conditionalFormatting>
  <conditionalFormatting sqref="G2:R200">
    <cfRule type="colorScale" priority="4">
      <colorScale>
        <cfvo type="min"/>
        <cfvo type="max"/>
        <color rgb="00FFC7CE"/>
        <color rgb="00C6EFCE"/>
      </colorScale>
    </cfRule>
  </conditionalFormatting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