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enefits Register" sheetId="2" state="visible" r:id="rId2"/>
  </sheets>
  <definedNames>
    <definedName name="_xlnm._FilterDatabase" localSheetId="1" hidden="1">'Benefits Register'!$A$1:$Q$200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AAAAAA"/>
      <sz val="14"/>
    </font>
    <font>
      <name val="Arial"/>
      <charset val="1"/>
      <family val="0"/>
      <b val="1"/>
      <color rgb="FF27374D"/>
      <sz val="28"/>
    </font>
    <font>
      <name val="Arial"/>
      <charset val="1"/>
      <family val="0"/>
      <color rgb="FF526D82"/>
      <sz val="14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i val="1"/>
      <color rgb="007A8A99"/>
      <sz val="9"/>
    </font>
    <font>
      <i val="1"/>
      <color rgb="00526D82"/>
      <sz val="9"/>
      <u val="single"/>
    </font>
  </fonts>
  <fills count="5">
    <fill>
      <patternFill/>
    </fill>
    <fill>
      <patternFill patternType="gray125"/>
    </fill>
    <fill>
      <patternFill patternType="solid">
        <fgColor rgb="FF27374D"/>
        <bgColor rgb="FF333333"/>
      </patternFill>
    </fill>
    <fill>
      <patternFill patternType="solid">
        <fgColor rgb="FFE9EFF3"/>
        <bgColor rgb="FFFFFFFF"/>
      </patternFill>
    </fill>
    <fill>
      <patternFill patternType="solid">
        <fgColor rgb="FFFFFFFF"/>
        <bgColor rgb="FFE9EFF3"/>
      </patternFill>
    </fill>
  </fills>
  <borders count="2">
    <border>
      <left/>
      <right/>
      <top/>
      <bottom/>
      <diagonal/>
    </border>
    <border>
      <left style="thin">
        <color rgb="FF9DB2BF"/>
      </left>
      <right style="thin">
        <color rgb="FF9DB2BF"/>
      </right>
      <top style="thin">
        <color rgb="FF9DB2BF"/>
      </top>
      <bottom style="thin">
        <color rgb="FF9DB2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164" fontId="10" fillId="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164" fontId="10" fillId="4" borderId="1" applyAlignment="1" pivotButton="0" quotePrefix="0" xfId="0">
      <alignment horizontal="left" vertical="center" wrapText="1"/>
    </xf>
    <xf numFmtId="164" fontId="9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1" fillId="0" borderId="0" pivotButton="0" quotePrefix="0" xfId="0"/>
    <xf numFmtId="0" fontId="12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164" fontId="10" fillId="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164" fontId="10" fillId="4" borderId="1" applyAlignment="1" pivotButton="0" quotePrefix="0" xfId="0">
      <alignment horizontal="left" vertical="center" wrapText="1"/>
    </xf>
    <xf numFmtId="164" fontId="9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27374D"/>
          <bgColor rgb="FF000000"/>
        </patternFill>
      </fill>
    </dxf>
    <dxf>
      <fill>
        <patternFill patternType="solid">
          <fgColor rgb="FFE9EF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DB2BF"/>
      <rgbColor rgb="FF808080"/>
      <rgbColor rgb="FF9999FF"/>
      <rgbColor rgb="FF993366"/>
      <rgbColor rgb="FFE9EF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526D82"/>
      <rgbColor rgb="FF33CCCC"/>
      <rgbColor rgb="FF99CC00"/>
      <rgbColor rgb="FFFFCC00"/>
      <rgbColor rgb="FFFF9900"/>
      <rgbColor rgb="FFFF6600"/>
      <rgbColor rgb="FF666699"/>
      <rgbColor rgb="FFAAAAAA"/>
      <rgbColor rgb="FF2737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3:C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4" min="1" max="1"/>
    <col width="60" customWidth="1" style="14" min="2" max="2"/>
    <col width="30" customWidth="1" style="14" min="3" max="3"/>
  </cols>
  <sheetData>
    <row r="3" ht="39.75" customHeight="1" s="15">
      <c r="B3" s="16" t="inlineStr">
        <is>
          <t>[COMPANY LOGO PLACEHOLDER]</t>
        </is>
      </c>
    </row>
    <row r="6" ht="49.5" customHeight="1" s="15">
      <c r="B6" s="17" t="inlineStr">
        <is>
          <t>Benefits Register</t>
        </is>
      </c>
    </row>
    <row r="7" ht="30" customHeight="1" s="15">
      <c r="B7" s="18" t="inlineStr">
        <is>
          <t>Benefits Realization Tracking &amp; Management</t>
        </is>
      </c>
    </row>
    <row r="9" ht="19.5" customHeight="1" s="15">
      <c r="B9" s="19" t="inlineStr">
        <is>
          <t>Organization:</t>
        </is>
      </c>
      <c r="C9" s="20" t="inlineStr">
        <is>
          <t>[Organization Name]</t>
        </is>
      </c>
    </row>
    <row r="10" ht="19.5" customHeight="1" s="15">
      <c r="B10" s="19" t="inlineStr">
        <is>
          <t>Prepared by:</t>
        </is>
      </c>
      <c r="C10" s="20" t="inlineStr">
        <is>
          <t>[Business Analyst Name]</t>
        </is>
      </c>
    </row>
    <row r="11" ht="19.5" customHeight="1" s="15">
      <c r="B11" s="19" t="inlineStr">
        <is>
          <t>Version:</t>
        </is>
      </c>
      <c r="C11" s="20" t="inlineStr">
        <is>
          <t>1.0</t>
        </is>
      </c>
    </row>
    <row r="12" ht="19.5" customHeight="1" s="15">
      <c r="B12" s="19" t="inlineStr">
        <is>
          <t>Date:</t>
        </is>
      </c>
      <c r="C12" s="20" t="inlineStr">
        <is>
          <t>June 2025</t>
        </is>
      </c>
    </row>
    <row r="13" ht="19.5" customHeight="1" s="15">
      <c r="B13" s="19" t="inlineStr">
        <is>
          <t>Status:</t>
        </is>
      </c>
      <c r="C13" s="20" t="inlineStr">
        <is>
          <t>Draft</t>
        </is>
      </c>
    </row>
    <row r="15">
      <c r="B15" s="21" t="inlineStr">
        <is>
          <t>Design &amp; Prepared by:</t>
        </is>
      </c>
      <c r="C15" s="22" t="inlineStr">
        <is>
          <t>Ahmed El Sayyad</t>
        </is>
      </c>
    </row>
  </sheetData>
  <mergeCells count="3">
    <mergeCell ref="B6:C6"/>
    <mergeCell ref="B7:C7"/>
    <mergeCell ref="B3:C3"/>
  </mergeCells>
  <hyperlinks>
    <hyperlink xmlns:r="http://schemas.openxmlformats.org/officeDocument/2006/relationships" ref="C15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28" customWidth="1" style="14" min="2" max="2"/>
    <col width="20" customWidth="1" style="14" min="3" max="3"/>
    <col width="35" customWidth="1" style="14" min="4" max="4"/>
    <col width="14" customWidth="1" style="14" min="5" max="5"/>
    <col width="25" customWidth="1" style="14" min="6" max="6"/>
    <col width="15" customWidth="1" style="14" min="7" max="8"/>
    <col width="12" customWidth="1" style="14" min="9" max="9"/>
    <col width="15" customWidth="1" style="14" min="10" max="11"/>
    <col width="14" customWidth="1" style="14" min="12" max="14"/>
    <col width="15" customWidth="1" style="14" min="15" max="15"/>
    <col width="14" customWidth="1" style="14" min="16" max="16"/>
    <col width="12" customWidth="1" style="14" min="17" max="17"/>
  </cols>
  <sheetData>
    <row r="1" ht="27.75" customHeight="1" s="15">
      <c r="A1" s="23" t="inlineStr">
        <is>
          <t>Benefit ID</t>
        </is>
      </c>
      <c r="B1" s="23" t="inlineStr">
        <is>
          <t>Benefit Name</t>
        </is>
      </c>
      <c r="C1" s="23" t="inlineStr">
        <is>
          <t>Category</t>
        </is>
      </c>
      <c r="D1" s="23" t="inlineStr">
        <is>
          <t>Description</t>
        </is>
      </c>
      <c r="E1" s="23" t="inlineStr">
        <is>
          <t>Type</t>
        </is>
      </c>
      <c r="F1" s="23" t="inlineStr">
        <is>
          <t>Measurement Metric</t>
        </is>
      </c>
      <c r="G1" s="23" t="inlineStr">
        <is>
          <t>Baseline Value</t>
        </is>
      </c>
      <c r="H1" s="23" t="inlineStr">
        <is>
          <t>Target Value</t>
        </is>
      </c>
      <c r="I1" s="23" t="inlineStr">
        <is>
          <t>Target Date</t>
        </is>
      </c>
      <c r="J1" s="23" t="inlineStr">
        <is>
          <t>Benefit Owner</t>
        </is>
      </c>
      <c r="K1" s="23" t="inlineStr">
        <is>
          <t>Realization Phase</t>
        </is>
      </c>
      <c r="L1" s="23" t="inlineStr">
        <is>
          <t>Yr 1 Forecast ($)</t>
        </is>
      </c>
      <c r="M1" s="23" t="inlineStr">
        <is>
          <t>Yr 2 Forecast ($)</t>
        </is>
      </c>
      <c r="N1" s="23" t="inlineStr">
        <is>
          <t>Yr 3 Forecast ($)</t>
        </is>
      </c>
      <c r="O1" s="23" t="inlineStr">
        <is>
          <t>Total Forecast ($)</t>
        </is>
      </c>
      <c r="P1" s="23" t="inlineStr">
        <is>
          <t>Actual Yr 1 ($)</t>
        </is>
      </c>
      <c r="Q1" s="23" t="inlineStr">
        <is>
          <t>Status</t>
        </is>
      </c>
    </row>
    <row r="2" ht="21.75" customHeight="1" s="15">
      <c r="A2" s="24" t="inlineStr">
        <is>
          <t>BEN-001</t>
        </is>
      </c>
      <c r="B2" s="24" t="inlineStr">
        <is>
          <t>Process Efficiency Gains</t>
        </is>
      </c>
      <c r="C2" s="24" t="inlineStr">
        <is>
          <t>Cost Reduction</t>
        </is>
      </c>
      <c r="D2" s="24" t="inlineStr">
        <is>
          <t>Reduction in manual processing hours</t>
        </is>
      </c>
      <c r="E2" s="24" t="inlineStr">
        <is>
          <t>Financial</t>
        </is>
      </c>
      <c r="F2" s="24" t="inlineStr">
        <is>
          <t>Hours saved per week</t>
        </is>
      </c>
      <c r="G2" s="24" t="inlineStr">
        <is>
          <t>40 hrs/wk</t>
        </is>
      </c>
      <c r="H2" s="24" t="inlineStr">
        <is>
          <t>8 hrs/wk</t>
        </is>
      </c>
      <c r="I2" s="24" t="inlineStr">
        <is>
          <t>Q4 2025</t>
        </is>
      </c>
      <c r="J2" s="24" t="inlineStr">
        <is>
          <t>[Owner]</t>
        </is>
      </c>
      <c r="K2" s="24" t="inlineStr">
        <is>
          <t>Phase 1</t>
        </is>
      </c>
      <c r="L2" s="25" t="n">
        <v>150000</v>
      </c>
      <c r="M2" s="25" t="n">
        <v>200000</v>
      </c>
      <c r="N2" s="25" t="n">
        <v>250000</v>
      </c>
      <c r="O2" s="25">
        <f>L2+M2+N2</f>
        <v/>
      </c>
      <c r="P2" s="25" t="n">
        <v>0</v>
      </c>
      <c r="Q2" s="24" t="inlineStr">
        <is>
          <t>On Track</t>
        </is>
      </c>
    </row>
    <row r="3" ht="21.75" customHeight="1" s="15">
      <c r="A3" s="26" t="inlineStr">
        <is>
          <t>BEN-002</t>
        </is>
      </c>
      <c r="B3" s="26" t="inlineStr">
        <is>
          <t>Error Reduction</t>
        </is>
      </c>
      <c r="C3" s="26" t="inlineStr">
        <is>
          <t>Quality Improvement</t>
        </is>
      </c>
      <c r="D3" s="26" t="inlineStr">
        <is>
          <t>Reduction in data entry errors and rework</t>
        </is>
      </c>
      <c r="E3" s="26" t="inlineStr">
        <is>
          <t>Financial</t>
        </is>
      </c>
      <c r="F3" s="26" t="inlineStr">
        <is>
          <t>Error rate %</t>
        </is>
      </c>
      <c r="G3" s="26" t="inlineStr">
        <is>
          <t>5%</t>
        </is>
      </c>
      <c r="H3" s="26" t="inlineStr">
        <is>
          <t>0.5%</t>
        </is>
      </c>
      <c r="I3" s="26" t="inlineStr">
        <is>
          <t>Q1 2026</t>
        </is>
      </c>
      <c r="J3" s="26" t="inlineStr">
        <is>
          <t>[Owner]</t>
        </is>
      </c>
      <c r="K3" s="26" t="inlineStr">
        <is>
          <t>Phase 1</t>
        </is>
      </c>
      <c r="L3" s="27" t="n">
        <v>80000</v>
      </c>
      <c r="M3" s="27" t="n">
        <v>100000</v>
      </c>
      <c r="N3" s="27" t="n">
        <v>120000</v>
      </c>
      <c r="O3" s="27">
        <f>L3+M3+N3</f>
        <v/>
      </c>
      <c r="P3" s="27" t="n">
        <v>0</v>
      </c>
      <c r="Q3" s="26" t="inlineStr">
        <is>
          <t>On Track</t>
        </is>
      </c>
    </row>
    <row r="4" ht="21.75" customHeight="1" s="15">
      <c r="A4" s="24" t="inlineStr">
        <is>
          <t>BEN-003</t>
        </is>
      </c>
      <c r="B4" s="24" t="inlineStr">
        <is>
          <t>Customer Satisfaction Improvement</t>
        </is>
      </c>
      <c r="C4" s="24" t="inlineStr">
        <is>
          <t>Revenue Enhancement</t>
        </is>
      </c>
      <c r="D4" s="24" t="inlineStr">
        <is>
          <t>Higher CSAT leads to reduced churn</t>
        </is>
      </c>
      <c r="E4" s="24" t="inlineStr">
        <is>
          <t>Financial</t>
        </is>
      </c>
      <c r="F4" s="24" t="inlineStr">
        <is>
          <t>CSAT Score</t>
        </is>
      </c>
      <c r="G4" s="24" t="inlineStr">
        <is>
          <t>3.8/5.0</t>
        </is>
      </c>
      <c r="H4" s="24" t="inlineStr">
        <is>
          <t>4.5/5.0</t>
        </is>
      </c>
      <c r="I4" s="24" t="inlineStr">
        <is>
          <t>Q2 2026</t>
        </is>
      </c>
      <c r="J4" s="24" t="inlineStr">
        <is>
          <t>[Owner]</t>
        </is>
      </c>
      <c r="K4" s="24" t="inlineStr">
        <is>
          <t>Phase 2</t>
        </is>
      </c>
      <c r="L4" s="25" t="n">
        <v>50000</v>
      </c>
      <c r="M4" s="25" t="n">
        <v>100000</v>
      </c>
      <c r="N4" s="25" t="n">
        <v>150000</v>
      </c>
      <c r="O4" s="25">
        <f>L4+M4+N4</f>
        <v/>
      </c>
      <c r="P4" s="25" t="n">
        <v>0</v>
      </c>
      <c r="Q4" s="24" t="inlineStr">
        <is>
          <t>Planned</t>
        </is>
      </c>
    </row>
    <row r="5" ht="21.75" customHeight="1" s="15">
      <c r="A5" s="26" t="inlineStr">
        <is>
          <t>BEN-004</t>
        </is>
      </c>
      <c r="B5" s="26" t="inlineStr">
        <is>
          <t>Compliance Risk Reduction</t>
        </is>
      </c>
      <c r="C5" s="26" t="inlineStr">
        <is>
          <t>Risk Avoidance</t>
        </is>
      </c>
      <c r="D5" s="26" t="inlineStr">
        <is>
          <t>Reduced regulatory fine exposure</t>
        </is>
      </c>
      <c r="E5" s="26" t="inlineStr">
        <is>
          <t>Non-Financial</t>
        </is>
      </c>
      <c r="F5" s="26" t="inlineStr">
        <is>
          <t>Audit findings</t>
        </is>
      </c>
      <c r="G5" s="26" t="inlineStr">
        <is>
          <t>8 findings/yr</t>
        </is>
      </c>
      <c r="H5" s="26" t="inlineStr">
        <is>
          <t>1 finding/yr</t>
        </is>
      </c>
      <c r="I5" s="26" t="inlineStr">
        <is>
          <t>Q4 2025</t>
        </is>
      </c>
      <c r="J5" s="26" t="inlineStr">
        <is>
          <t>[Owner]</t>
        </is>
      </c>
      <c r="K5" s="26" t="inlineStr">
        <is>
          <t>Phase 1</t>
        </is>
      </c>
      <c r="L5" s="27" t="n">
        <v>50000</v>
      </c>
      <c r="M5" s="27" t="n">
        <v>50000</v>
      </c>
      <c r="N5" s="27" t="n">
        <v>50000</v>
      </c>
      <c r="O5" s="27">
        <f>L5+M5+N5</f>
        <v/>
      </c>
      <c r="P5" s="27" t="n">
        <v>0</v>
      </c>
      <c r="Q5" s="26" t="inlineStr">
        <is>
          <t>On Track</t>
        </is>
      </c>
    </row>
    <row r="6" ht="24" customHeight="1" s="15">
      <c r="A6" s="19" t="inlineStr">
        <is>
          <t>TOTAL</t>
        </is>
      </c>
      <c r="L6" s="28">
        <f>SUM(L2:L5)</f>
        <v/>
      </c>
      <c r="M6" s="28">
        <f>SUM(M2:M5)</f>
        <v/>
      </c>
      <c r="N6" s="28">
        <f>SUM(N2:N5)</f>
        <v/>
      </c>
      <c r="O6" s="28">
        <f>L6+M6+N6</f>
        <v/>
      </c>
      <c r="P6" s="28">
        <f>SUM(P2:P5)</f>
        <v/>
      </c>
    </row>
    <row r="7" ht="15" customHeight="1" s="15">
      <c r="L7" s="29" t="n"/>
      <c r="M7" s="29" t="n"/>
      <c r="N7" s="29" t="n"/>
      <c r="O7" s="29">
        <f>SUM(O2:O6)</f>
        <v/>
      </c>
      <c r="P7" s="29" t="n"/>
    </row>
    <row r="8" ht="15" customHeight="1" s="15">
      <c r="L8" s="29" t="n"/>
      <c r="M8" s="29" t="n"/>
      <c r="N8" s="29" t="n"/>
      <c r="O8" s="29" t="n"/>
      <c r="P8" s="29" t="n"/>
    </row>
    <row r="9" ht="15" customHeight="1" s="15">
      <c r="L9" s="29" t="n"/>
      <c r="M9" s="29" t="n"/>
      <c r="N9" s="29" t="n"/>
      <c r="O9" s="29" t="n"/>
      <c r="P9" s="29" t="n"/>
    </row>
    <row r="10" ht="15" customHeight="1" s="15">
      <c r="L10" s="29" t="n"/>
      <c r="M10" s="29" t="n"/>
      <c r="N10" s="29" t="n"/>
      <c r="O10" s="29" t="n"/>
      <c r="P10" s="29" t="n"/>
    </row>
    <row r="11" ht="15" customHeight="1" s="15">
      <c r="L11" s="29" t="n"/>
      <c r="M11" s="29" t="n"/>
      <c r="N11" s="29" t="n"/>
      <c r="O11" s="29" t="n"/>
      <c r="P11" s="29" t="n"/>
    </row>
    <row r="12" ht="15" customHeight="1" s="15">
      <c r="L12" s="29" t="n"/>
      <c r="M12" s="29" t="n"/>
      <c r="N12" s="29" t="n"/>
      <c r="O12" s="29" t="n"/>
      <c r="P12" s="29" t="n"/>
    </row>
    <row r="13" ht="15" customHeight="1" s="15">
      <c r="L13" s="29" t="n"/>
      <c r="M13" s="29" t="n"/>
      <c r="N13" s="29" t="n"/>
      <c r="O13" s="29" t="n"/>
      <c r="P13" s="29" t="n"/>
    </row>
    <row r="14" ht="15" customHeight="1" s="15">
      <c r="L14" s="29" t="n"/>
      <c r="M14" s="29" t="n"/>
      <c r="N14" s="29" t="n"/>
      <c r="O14" s="29" t="n"/>
      <c r="P14" s="29" t="n"/>
    </row>
    <row r="15" ht="15" customHeight="1" s="15">
      <c r="L15" s="29" t="n"/>
      <c r="M15" s="29" t="n"/>
      <c r="N15" s="29" t="n"/>
      <c r="O15" s="29" t="n"/>
      <c r="P15" s="29" t="n"/>
    </row>
    <row r="16" ht="15" customHeight="1" s="15">
      <c r="L16" s="29" t="n"/>
      <c r="M16" s="29" t="n"/>
      <c r="N16" s="29" t="n"/>
      <c r="O16" s="29" t="n"/>
      <c r="P16" s="29" t="n"/>
    </row>
    <row r="17" ht="15" customHeight="1" s="15">
      <c r="L17" s="29" t="n"/>
      <c r="M17" s="29" t="n"/>
      <c r="N17" s="29" t="n"/>
      <c r="O17" s="29" t="n"/>
      <c r="P17" s="29" t="n"/>
    </row>
    <row r="18" ht="15" customHeight="1" s="15">
      <c r="L18" s="29" t="n"/>
      <c r="M18" s="29" t="n"/>
      <c r="N18" s="29" t="n"/>
      <c r="O18" s="29" t="n"/>
      <c r="P18" s="29" t="n"/>
    </row>
    <row r="19" ht="15" customHeight="1" s="15">
      <c r="L19" s="29" t="n"/>
      <c r="M19" s="29" t="n"/>
      <c r="N19" s="29" t="n"/>
      <c r="O19" s="29" t="n"/>
      <c r="P19" s="29" t="n"/>
    </row>
  </sheetData>
  <autoFilter ref="A1:Q200"/>
  <conditionalFormatting sqref="Q2:Q200">
    <cfRule type="cellIs" rank="0" priority="2" equalAverage="0" operator="equal" aboveAverage="0" dxfId="6" text="" percent="0" bottom="0">
      <formula>"On Track"</formula>
    </cfRule>
    <cfRule type="cellIs" rank="0" priority="3" equalAverage="0" operator="equal" aboveAverage="0" dxfId="6" text="" percent="0" bottom="0">
      <formula>"Achieved"</formula>
    </cfRule>
    <cfRule type="cellIs" rank="0" priority="4" equalAverage="0" operator="equal" aboveAverage="0" dxfId="7" text="" percent="0" bottom="0">
      <formula>"At Risk"</formula>
    </cfRule>
    <cfRule type="cellIs" rank="0" priority="5" equalAverage="0" operator="equal" aboveAverage="0" dxfId="8" text="" percent="0" bottom="0">
      <formula>"Behind"</formula>
    </cfRule>
  </conditionalFormatting>
  <dataValidations count="1">
    <dataValidation sqref="Q2:Q200" showDropDown="0" showInputMessage="0" showErrorMessage="0" allowBlank="0" type="list" errorStyle="stop" operator="between">
      <formula1>"On Track,At Risk,Behind,Achieved,Cancelled,Planned"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2026-06-12T18:38:23Z</dcterms:created>
  <dcterms:modified xmlns:dcterms="http://purl.org/dc/terms/" xmlns:xsi="http://www.w3.org/2001/XMLSchema-instance" xsi:type="dcterms:W3CDTF">2026-09-26T10:52:07Z</dcterms:modified>
  <cp:revision>0</cp:revision>
</cp:coreProperties>
</file>